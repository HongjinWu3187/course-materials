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WHJ\本科\学习\2-1 大二秋 2025-2026\物理实验B(1)-梁昌林\实验4-阻尼\"/>
    </mc:Choice>
  </mc:AlternateContent>
  <xr:revisionPtr revIDLastSave="0" documentId="13_ncr:1_{9CF7EEA8-DF62-4E6C-9213-B6D7D35111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5" i="1"/>
  <c r="P16" i="1"/>
  <c r="P17" i="1"/>
  <c r="O4" i="1"/>
  <c r="O5" i="1"/>
  <c r="O6" i="1"/>
  <c r="O7" i="1"/>
  <c r="O8" i="1"/>
  <c r="O9" i="1"/>
  <c r="O10" i="1"/>
  <c r="O11" i="1"/>
  <c r="O12" i="1"/>
  <c r="O13" i="1"/>
  <c r="O14" i="1"/>
  <c r="P14" i="1" s="1"/>
  <c r="O15" i="1"/>
  <c r="O16" i="1"/>
  <c r="O17" i="1"/>
  <c r="O3" i="1"/>
  <c r="P3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17" i="1"/>
  <c r="K17" i="1" s="1"/>
  <c r="H24" i="1"/>
  <c r="H13" i="1"/>
  <c r="G4" i="1"/>
  <c r="G5" i="1"/>
  <c r="G6" i="1"/>
  <c r="G7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3" i="1"/>
  <c r="E14" i="1"/>
  <c r="E1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3" i="1"/>
  <c r="D3" i="1" l="1"/>
</calcChain>
</file>

<file path=xl/sharedStrings.xml><?xml version="1.0" encoding="utf-8"?>
<sst xmlns="http://schemas.openxmlformats.org/spreadsheetml/2006/main" count="21" uniqueCount="15">
  <si>
    <t>振幅</t>
    <phoneticPr fontId="1" type="noConversion"/>
  </si>
  <si>
    <r>
      <rPr>
        <b/>
        <sz val="11"/>
        <color theme="1"/>
        <rFont val="宋体"/>
        <family val="3"/>
        <charset val="134"/>
      </rPr>
      <t>实验数据</t>
    </r>
    <phoneticPr fontId="1" type="noConversion"/>
  </si>
  <si>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</si>
  <si>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振幅</t>
    </r>
    <phoneticPr fontId="1" type="noConversion"/>
  </si>
  <si>
    <t>对数</t>
    <phoneticPr fontId="1" type="noConversion"/>
  </si>
  <si>
    <t>相关系数</t>
    <phoneticPr fontId="1" type="noConversion"/>
  </si>
  <si>
    <t>标准差</t>
    <phoneticPr fontId="1" type="noConversion"/>
  </si>
  <si>
    <t>平均值</t>
    <phoneticPr fontId="1" type="noConversion"/>
  </si>
  <si>
    <t>周期</t>
    <phoneticPr fontId="1" type="noConversion"/>
  </si>
  <si>
    <r>
      <rPr>
        <sz val="11"/>
        <color theme="1"/>
        <rFont val="宋体"/>
        <family val="1"/>
        <charset val="134"/>
      </rPr>
      <t>周期</t>
    </r>
    <phoneticPr fontId="1" type="noConversion"/>
  </si>
  <si>
    <r>
      <rPr>
        <sz val="11"/>
        <color theme="1"/>
        <rFont val="宋体"/>
        <family val="1"/>
        <charset val="134"/>
      </rPr>
      <t>频率</t>
    </r>
    <r>
      <rPr>
        <sz val="11"/>
        <color theme="1"/>
        <rFont val="Cambria"/>
        <family val="1"/>
      </rPr>
      <t>(rad/s)</t>
    </r>
    <phoneticPr fontId="1" type="noConversion"/>
  </si>
  <si>
    <r>
      <rPr>
        <sz val="11"/>
        <color theme="1"/>
        <rFont val="宋体"/>
        <family val="1"/>
        <charset val="134"/>
      </rPr>
      <t>振幅</t>
    </r>
    <r>
      <rPr>
        <sz val="11"/>
        <color theme="1"/>
        <rFont val="Cambria"/>
        <family val="1"/>
      </rPr>
      <t>(°)</t>
    </r>
    <phoneticPr fontId="1" type="noConversion"/>
  </si>
  <si>
    <r>
      <rPr>
        <sz val="11"/>
        <color theme="1"/>
        <rFont val="宋体"/>
        <family val="1"/>
        <charset val="134"/>
      </rPr>
      <t>相位差</t>
    </r>
    <r>
      <rPr>
        <sz val="11"/>
        <color theme="1"/>
        <rFont val="Cambria"/>
        <family val="1"/>
      </rPr>
      <t>(°)</t>
    </r>
    <phoneticPr fontId="1" type="noConversion"/>
  </si>
  <si>
    <t>实验数据低阻尼</t>
    <phoneticPr fontId="1" type="noConversion"/>
  </si>
  <si>
    <t>实验数据高阻尼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</si>
</sst>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00"/>
    <numFmt numFmtId="183" formatCode="0.00000"/>
  </numFmts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Cambria"/>
      <family val="1"/>
    </font>
    <font>
      <b/>
      <sz val="11"/>
      <color theme="1"/>
      <name val="宋体"/>
      <family val="3"/>
      <charset val="134"/>
    </font>
    <font>
      <sz val="11"/>
      <color theme="1"/>
      <name val="Cambria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Cambria"/>
      <family val="1"/>
      <charset val="134"/>
    </font>
    <font>
      <b/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"/>
  <sheetViews>
    <sheetView tabSelected="1" topLeftCell="A33" zoomScale="190" zoomScaleNormal="190" workbookViewId="0">
      <selection activeCell="A3" sqref="A3:A52"/>
    </sheetView>
  </sheetViews>
  <sheetFormatPr defaultColWidth="9" defaultRowHeight="14" x14ac:dyDescent="0.25"/>
  <cols>
    <col min="5" max="5" width="12.81640625" bestFit="1" customWidth="1"/>
    <col min="10" max="10" width="13.26953125" customWidth="1"/>
    <col min="12" max="12" width="9.81640625" customWidth="1"/>
    <col min="13" max="14" width="11.81640625" customWidth="1"/>
    <col min="15" max="15" width="13.26953125" customWidth="1"/>
    <col min="18" max="18" width="11.81640625" customWidth="1"/>
  </cols>
  <sheetData>
    <row r="1" spans="1:18" ht="26.5" customHeight="1" x14ac:dyDescent="0.25">
      <c r="A1" s="2" t="s">
        <v>1</v>
      </c>
      <c r="B1" s="2"/>
      <c r="C1" s="2"/>
      <c r="D1" s="2"/>
      <c r="E1" s="4"/>
      <c r="F1" s="4"/>
      <c r="G1" s="4"/>
      <c r="H1" s="4"/>
      <c r="I1" s="4"/>
      <c r="J1" s="12" t="s">
        <v>13</v>
      </c>
      <c r="K1" s="2"/>
      <c r="L1" s="2"/>
      <c r="M1" s="2"/>
      <c r="N1" s="5"/>
      <c r="O1" s="11" t="s">
        <v>14</v>
      </c>
      <c r="P1" s="10"/>
      <c r="Q1" s="10"/>
      <c r="R1" s="10"/>
    </row>
    <row r="2" spans="1:18" x14ac:dyDescent="0.25">
      <c r="A2" s="4" t="s">
        <v>2</v>
      </c>
      <c r="B2" s="4" t="s">
        <v>3</v>
      </c>
      <c r="C2" s="6" t="s">
        <v>4</v>
      </c>
      <c r="D2" s="6" t="s">
        <v>5</v>
      </c>
      <c r="E2" s="6" t="s">
        <v>8</v>
      </c>
      <c r="F2" s="6" t="s">
        <v>0</v>
      </c>
      <c r="G2" s="6" t="s">
        <v>4</v>
      </c>
      <c r="H2" s="6" t="s">
        <v>8</v>
      </c>
      <c r="I2" s="4" t="s">
        <v>9</v>
      </c>
      <c r="J2" s="9" t="s">
        <v>10</v>
      </c>
      <c r="K2" s="4"/>
      <c r="L2" s="4" t="s">
        <v>11</v>
      </c>
      <c r="M2" s="4" t="s">
        <v>12</v>
      </c>
      <c r="N2" s="6" t="s">
        <v>8</v>
      </c>
      <c r="O2" s="9" t="s">
        <v>10</v>
      </c>
      <c r="P2" s="4"/>
      <c r="Q2" s="4" t="s">
        <v>11</v>
      </c>
      <c r="R2" s="4" t="s">
        <v>12</v>
      </c>
    </row>
    <row r="3" spans="1:18" x14ac:dyDescent="0.25">
      <c r="A3" s="4">
        <v>1</v>
      </c>
      <c r="B3" s="4">
        <v>135</v>
      </c>
      <c r="C3" s="4">
        <f>LN(B3)</f>
        <v>4.9052747784384296</v>
      </c>
      <c r="D3" s="4">
        <f>CORREL(C3:C52,A3:A52)</f>
        <v>-0.99900110897697658</v>
      </c>
      <c r="E3" s="7">
        <v>14.657</v>
      </c>
      <c r="F3" s="4">
        <v>124</v>
      </c>
      <c r="G3" s="4">
        <f>LN(F3)</f>
        <v>4.8202815656050371</v>
      </c>
      <c r="H3" s="4">
        <v>1.466</v>
      </c>
      <c r="I3" s="4">
        <v>1.625</v>
      </c>
      <c r="J3" s="7">
        <f>3.141592653*2/I3</f>
        <v>3.8665755729230771</v>
      </c>
      <c r="K3" s="7">
        <f>J3/4.28</f>
        <v>0.90340550769230765</v>
      </c>
      <c r="L3" s="4">
        <v>23</v>
      </c>
      <c r="M3" s="4">
        <v>8.8000000000000007</v>
      </c>
      <c r="N3" s="4">
        <v>1.6259999999999999</v>
      </c>
      <c r="O3" s="7">
        <f>2*3.141592653/N3</f>
        <v>3.8641976051660518</v>
      </c>
      <c r="P3" s="7">
        <f>O3/4.28</f>
        <v>0.90284990774907747</v>
      </c>
      <c r="Q3" s="4">
        <v>22</v>
      </c>
      <c r="R3" s="4">
        <v>15</v>
      </c>
    </row>
    <row r="4" spans="1:18" x14ac:dyDescent="0.25">
      <c r="A4" s="4">
        <v>2</v>
      </c>
      <c r="B4" s="4">
        <v>135</v>
      </c>
      <c r="C4" s="4">
        <f t="shared" ref="C4:C52" si="0">LN(B4)</f>
        <v>4.9052747784384296</v>
      </c>
      <c r="D4" s="4"/>
      <c r="E4" s="4">
        <v>14.666</v>
      </c>
      <c r="F4" s="4">
        <v>113</v>
      </c>
      <c r="G4" s="4">
        <f t="shared" ref="G4:G23" si="1">LN(F4)</f>
        <v>4.7273878187123408</v>
      </c>
      <c r="H4" s="4">
        <v>1.466</v>
      </c>
      <c r="I4" s="4">
        <v>1.595</v>
      </c>
      <c r="J4" s="7">
        <f>3.141592653*2/I4</f>
        <v>3.9393011322884015</v>
      </c>
      <c r="K4" s="7">
        <f>J4/4.28</f>
        <v>0.92039746081504703</v>
      </c>
      <c r="L4" s="4">
        <v>28</v>
      </c>
      <c r="M4" s="4">
        <v>10.7</v>
      </c>
      <c r="N4" s="4">
        <v>1.597</v>
      </c>
      <c r="O4" s="7">
        <f t="shared" ref="O4:O17" si="2">2*3.141592653/N4</f>
        <v>3.9343677557921102</v>
      </c>
      <c r="P4" s="7">
        <f t="shared" ref="P4:P17" si="3">O4/4.28</f>
        <v>0.91924480275516585</v>
      </c>
      <c r="Q4" s="4">
        <v>26</v>
      </c>
      <c r="R4" s="4">
        <v>19.899999999999999</v>
      </c>
    </row>
    <row r="5" spans="1:18" x14ac:dyDescent="0.25">
      <c r="A5" s="4">
        <v>3</v>
      </c>
      <c r="B5" s="4">
        <v>133</v>
      </c>
      <c r="C5" s="4">
        <f t="shared" si="0"/>
        <v>4.8903491282217537</v>
      </c>
      <c r="D5" s="4"/>
      <c r="E5" s="4">
        <v>14.673</v>
      </c>
      <c r="F5" s="4">
        <v>103</v>
      </c>
      <c r="G5" s="4">
        <f t="shared" si="1"/>
        <v>4.6347289882296359</v>
      </c>
      <c r="H5" s="4">
        <v>4.4669999999999996</v>
      </c>
      <c r="I5" s="4">
        <v>1.5580000000000001</v>
      </c>
      <c r="J5" s="7">
        <f>3.141592653*2/I5</f>
        <v>4.03285321309371</v>
      </c>
      <c r="K5" s="7">
        <f>J5/4.28</f>
        <v>0.94225542362002568</v>
      </c>
      <c r="L5" s="4">
        <v>36</v>
      </c>
      <c r="M5" s="4">
        <v>14.8</v>
      </c>
      <c r="N5" s="4">
        <v>1.5669999999999999</v>
      </c>
      <c r="O5" s="7">
        <f t="shared" si="2"/>
        <v>4.0096906866624122</v>
      </c>
      <c r="P5" s="7">
        <f t="shared" si="3"/>
        <v>0.93684361837906827</v>
      </c>
      <c r="Q5" s="4">
        <v>33</v>
      </c>
      <c r="R5" s="4">
        <v>22.5</v>
      </c>
    </row>
    <row r="6" spans="1:18" x14ac:dyDescent="0.25">
      <c r="A6" s="4">
        <v>4</v>
      </c>
      <c r="B6" s="4">
        <v>133</v>
      </c>
      <c r="C6" s="4">
        <f t="shared" si="0"/>
        <v>4.8903491282217537</v>
      </c>
      <c r="D6" s="4"/>
      <c r="E6" s="4">
        <v>14.680999999999999</v>
      </c>
      <c r="F6" s="4">
        <v>93</v>
      </c>
      <c r="G6" s="4">
        <f t="shared" si="1"/>
        <v>4.5325994931532563</v>
      </c>
      <c r="H6" s="4">
        <v>1.468</v>
      </c>
      <c r="I6" s="4">
        <v>1.528</v>
      </c>
      <c r="J6" s="7">
        <f>3.141592653*2/I6</f>
        <v>4.1120322683246071</v>
      </c>
      <c r="K6" s="7">
        <f>J6/4.28</f>
        <v>0.96075520287958105</v>
      </c>
      <c r="L6" s="4">
        <v>51</v>
      </c>
      <c r="M6" s="4">
        <v>21.6</v>
      </c>
      <c r="N6" s="4">
        <v>1.532</v>
      </c>
      <c r="O6" s="7">
        <f t="shared" si="2"/>
        <v>4.1012958916449085</v>
      </c>
      <c r="P6" s="7">
        <f t="shared" si="3"/>
        <v>0.95824670365535236</v>
      </c>
      <c r="Q6" s="4">
        <v>44</v>
      </c>
      <c r="R6" s="4">
        <v>31.6</v>
      </c>
    </row>
    <row r="7" spans="1:18" x14ac:dyDescent="0.25">
      <c r="A7" s="4">
        <v>5</v>
      </c>
      <c r="B7" s="4">
        <v>132</v>
      </c>
      <c r="C7" s="4">
        <f t="shared" si="0"/>
        <v>4.8828019225863706</v>
      </c>
      <c r="D7" s="4"/>
      <c r="E7" s="4">
        <v>14.683999999999999</v>
      </c>
      <c r="F7" s="4">
        <v>85</v>
      </c>
      <c r="G7" s="4">
        <f t="shared" si="1"/>
        <v>4.4426512564903167</v>
      </c>
      <c r="H7" s="4">
        <v>1.468</v>
      </c>
      <c r="I7" s="4">
        <v>1.492</v>
      </c>
      <c r="J7" s="7">
        <f>3.141592653*2/I7</f>
        <v>4.2112502050938341</v>
      </c>
      <c r="K7" s="7">
        <f>J7/4.28</f>
        <v>0.98393696380697049</v>
      </c>
      <c r="L7" s="4">
        <v>99</v>
      </c>
      <c r="M7" s="4">
        <v>41.9</v>
      </c>
      <c r="N7" s="4">
        <v>1.4970000000000001</v>
      </c>
      <c r="O7" s="7">
        <f t="shared" si="2"/>
        <v>4.1971845731462922</v>
      </c>
      <c r="P7" s="7">
        <f t="shared" si="3"/>
        <v>0.98065060120240466</v>
      </c>
      <c r="Q7" s="4">
        <v>68</v>
      </c>
      <c r="R7" s="4">
        <v>55.1</v>
      </c>
    </row>
    <row r="8" spans="1:18" x14ac:dyDescent="0.25">
      <c r="A8" s="4">
        <v>6</v>
      </c>
      <c r="B8" s="4">
        <v>131</v>
      </c>
      <c r="C8" s="4">
        <f t="shared" si="0"/>
        <v>4.8751973232011512</v>
      </c>
      <c r="D8" s="4"/>
      <c r="E8" s="4">
        <v>14.688000000000001</v>
      </c>
      <c r="F8" s="4">
        <v>77</v>
      </c>
      <c r="G8" s="4">
        <f t="shared" si="1"/>
        <v>4.3438054218536841</v>
      </c>
      <c r="H8" s="4">
        <v>1.468</v>
      </c>
      <c r="I8" s="4">
        <v>1.4850000000000001</v>
      </c>
      <c r="J8" s="7">
        <f>3.141592653*2/I8</f>
        <v>4.2311012161616155</v>
      </c>
      <c r="K8" s="7">
        <f>J8/4.28</f>
        <v>0.98857505050505035</v>
      </c>
      <c r="L8" s="4">
        <v>111</v>
      </c>
      <c r="M8" s="4">
        <v>52</v>
      </c>
      <c r="N8" s="4">
        <v>1.486</v>
      </c>
      <c r="O8" s="7">
        <f t="shared" si="2"/>
        <v>4.2282539071332437</v>
      </c>
      <c r="P8" s="7">
        <f t="shared" si="3"/>
        <v>0.98790979138627177</v>
      </c>
      <c r="Q8" s="4">
        <v>79</v>
      </c>
      <c r="R8" s="4">
        <v>67.2</v>
      </c>
    </row>
    <row r="9" spans="1:18" x14ac:dyDescent="0.25">
      <c r="A9" s="4">
        <v>7</v>
      </c>
      <c r="B9" s="4">
        <v>130</v>
      </c>
      <c r="C9" s="4">
        <f t="shared" si="0"/>
        <v>4.8675344504555822</v>
      </c>
      <c r="D9" s="4"/>
      <c r="E9" s="4">
        <v>14.692</v>
      </c>
      <c r="F9" s="4">
        <v>70</v>
      </c>
      <c r="G9" s="4">
        <f t="shared" si="1"/>
        <v>4.2484952420493594</v>
      </c>
      <c r="H9" s="4">
        <v>1.468</v>
      </c>
      <c r="I9" s="4">
        <v>1.476</v>
      </c>
      <c r="J9" s="7">
        <f>3.141592653*2/I9</f>
        <v>4.2569006138211387</v>
      </c>
      <c r="K9" s="7">
        <f>J9/4.28</f>
        <v>0.99460294715447162</v>
      </c>
      <c r="L9" s="4">
        <v>131</v>
      </c>
      <c r="M9" s="4">
        <v>68</v>
      </c>
      <c r="N9" s="4">
        <v>1.476</v>
      </c>
      <c r="O9" s="7">
        <f t="shared" si="2"/>
        <v>4.2569006138211387</v>
      </c>
      <c r="P9" s="7">
        <f t="shared" si="3"/>
        <v>0.99460294715447162</v>
      </c>
      <c r="Q9" s="4">
        <v>81</v>
      </c>
      <c r="R9" s="4">
        <v>79.900000000000006</v>
      </c>
    </row>
    <row r="10" spans="1:18" x14ac:dyDescent="0.25">
      <c r="A10" s="4">
        <v>8</v>
      </c>
      <c r="B10" s="4">
        <v>129</v>
      </c>
      <c r="C10" s="4">
        <f t="shared" si="0"/>
        <v>4.8598124043616719</v>
      </c>
      <c r="D10" s="4"/>
      <c r="E10" s="4">
        <v>14.692</v>
      </c>
      <c r="F10" s="4">
        <v>63</v>
      </c>
      <c r="G10" s="4">
        <f t="shared" si="1"/>
        <v>4.1431347263915326</v>
      </c>
      <c r="H10" s="4">
        <v>1.468</v>
      </c>
      <c r="I10" s="4">
        <v>1.472</v>
      </c>
      <c r="J10" s="7">
        <f>3.141592653*2/I10</f>
        <v>4.2684682785326089</v>
      </c>
      <c r="K10" s="7">
        <f>J10/4.28</f>
        <v>0.99730567255434777</v>
      </c>
      <c r="L10" s="4">
        <v>139</v>
      </c>
      <c r="M10" s="4">
        <v>75.7</v>
      </c>
      <c r="N10" s="4">
        <v>1.468</v>
      </c>
      <c r="O10" s="7">
        <f t="shared" si="2"/>
        <v>4.2800989822888287</v>
      </c>
      <c r="P10" s="7">
        <f t="shared" si="3"/>
        <v>1.0000231267029973</v>
      </c>
      <c r="Q10" s="4">
        <v>85</v>
      </c>
      <c r="R10" s="4">
        <v>91.8</v>
      </c>
    </row>
    <row r="11" spans="1:18" x14ac:dyDescent="0.25">
      <c r="A11" s="4">
        <v>9</v>
      </c>
      <c r="B11" s="4">
        <v>129</v>
      </c>
      <c r="C11" s="4">
        <f t="shared" si="0"/>
        <v>4.8598124043616719</v>
      </c>
      <c r="D11" s="4"/>
      <c r="E11" s="6" t="s">
        <v>6</v>
      </c>
      <c r="F11" s="4">
        <v>57</v>
      </c>
      <c r="G11" s="4">
        <f t="shared" si="1"/>
        <v>4.0430512678345503</v>
      </c>
      <c r="H11" s="4">
        <v>1.468</v>
      </c>
      <c r="I11" s="4">
        <v>1.46</v>
      </c>
      <c r="J11" s="7">
        <f>3.141592653*2/I11</f>
        <v>4.3035515794520549</v>
      </c>
      <c r="K11" s="7">
        <f>J11/4.28</f>
        <v>1.0055027054794521</v>
      </c>
      <c r="L11" s="4">
        <v>137</v>
      </c>
      <c r="M11" s="4">
        <v>107.8</v>
      </c>
      <c r="N11" s="4">
        <v>1.4610000000000001</v>
      </c>
      <c r="O11" s="7">
        <f t="shared" si="2"/>
        <v>4.3006059589322376</v>
      </c>
      <c r="P11" s="7">
        <f t="shared" si="3"/>
        <v>1.0048144763860367</v>
      </c>
      <c r="Q11" s="4">
        <v>82</v>
      </c>
      <c r="R11" s="4">
        <v>104.5</v>
      </c>
    </row>
    <row r="12" spans="1:18" x14ac:dyDescent="0.25">
      <c r="A12" s="4">
        <v>10</v>
      </c>
      <c r="B12" s="4">
        <v>128</v>
      </c>
      <c r="C12" s="4">
        <f t="shared" si="0"/>
        <v>4.8520302639196169</v>
      </c>
      <c r="D12" s="4"/>
      <c r="E12" s="4">
        <f>_xlfn.STDEV.S(E3:E10)</f>
        <v>1.2744046228953896E-2</v>
      </c>
      <c r="F12" s="4">
        <v>52</v>
      </c>
      <c r="G12" s="4">
        <f t="shared" si="1"/>
        <v>3.9512437185814275</v>
      </c>
      <c r="H12" s="4">
        <v>1.468</v>
      </c>
      <c r="I12" s="4">
        <v>1.4510000000000001</v>
      </c>
      <c r="J12" s="7">
        <f>3.141592653*2/I12</f>
        <v>4.3302448697450036</v>
      </c>
      <c r="K12" s="7">
        <f>J12/4.28</f>
        <v>1.011739455547898</v>
      </c>
      <c r="L12" s="4">
        <v>109</v>
      </c>
      <c r="M12" s="4">
        <v>129.80000000000001</v>
      </c>
      <c r="N12" s="4">
        <v>1.454</v>
      </c>
      <c r="O12" s="7">
        <f t="shared" si="2"/>
        <v>4.3213103892709768</v>
      </c>
      <c r="P12" s="7">
        <f t="shared" si="3"/>
        <v>1.0096519601100413</v>
      </c>
      <c r="Q12" s="4">
        <v>74</v>
      </c>
      <c r="R12" s="4">
        <v>113.8</v>
      </c>
    </row>
    <row r="13" spans="1:18" x14ac:dyDescent="0.25">
      <c r="A13" s="4">
        <v>11</v>
      </c>
      <c r="B13" s="4">
        <v>127</v>
      </c>
      <c r="C13" s="4">
        <f t="shared" si="0"/>
        <v>4.8441870864585912</v>
      </c>
      <c r="D13" s="4"/>
      <c r="E13" s="6" t="s">
        <v>7</v>
      </c>
      <c r="F13" s="4"/>
      <c r="G13" s="4"/>
      <c r="H13" s="4">
        <f>AVERAGE(H3:H12)</f>
        <v>1.7675000000000001</v>
      </c>
      <c r="I13" s="4">
        <v>1.44</v>
      </c>
      <c r="J13" s="7">
        <f>3.141592653*2/I13</f>
        <v>4.363323129166667</v>
      </c>
      <c r="K13" s="7">
        <f>J13/4.28</f>
        <v>1.0194680208333333</v>
      </c>
      <c r="L13" s="4">
        <v>83</v>
      </c>
      <c r="M13" s="4">
        <v>144</v>
      </c>
      <c r="N13" s="4">
        <v>1.4390000000000001</v>
      </c>
      <c r="O13" s="7">
        <f t="shared" si="2"/>
        <v>4.3663553203613619</v>
      </c>
      <c r="P13" s="7">
        <f t="shared" si="3"/>
        <v>1.0201764767199444</v>
      </c>
      <c r="Q13" s="4">
        <v>61</v>
      </c>
      <c r="R13" s="4">
        <v>131.19999999999999</v>
      </c>
    </row>
    <row r="14" spans="1:18" x14ac:dyDescent="0.25">
      <c r="A14" s="4">
        <v>12</v>
      </c>
      <c r="B14" s="4">
        <v>126</v>
      </c>
      <c r="C14" s="4">
        <f t="shared" si="0"/>
        <v>4.836281906951478</v>
      </c>
      <c r="D14" s="4"/>
      <c r="E14" s="7">
        <f>AVERAGE(E3:E10)</f>
        <v>14.679125000000003</v>
      </c>
      <c r="F14" s="4">
        <v>123</v>
      </c>
      <c r="G14" s="4">
        <f t="shared" si="1"/>
        <v>4.8121843553724171</v>
      </c>
      <c r="H14" s="4">
        <v>1.468</v>
      </c>
      <c r="I14" s="4">
        <v>1.411</v>
      </c>
      <c r="J14" s="7">
        <f>3.141592653*2/I14</f>
        <v>4.4530016343019136</v>
      </c>
      <c r="K14" s="7">
        <f>J14/4.28</f>
        <v>1.0404209425939051</v>
      </c>
      <c r="L14" s="4">
        <v>47</v>
      </c>
      <c r="M14" s="4">
        <v>161.30000000000001</v>
      </c>
      <c r="N14" s="4">
        <v>1.4119999999999999</v>
      </c>
      <c r="O14" s="7">
        <f t="shared" si="2"/>
        <v>4.4498479504249291</v>
      </c>
      <c r="P14" s="8">
        <f t="shared" si="3"/>
        <v>1.0396841005665722</v>
      </c>
      <c r="Q14" s="4">
        <v>42</v>
      </c>
      <c r="R14" s="4">
        <v>149</v>
      </c>
    </row>
    <row r="15" spans="1:18" x14ac:dyDescent="0.25">
      <c r="A15" s="4">
        <v>13</v>
      </c>
      <c r="B15" s="4">
        <v>125</v>
      </c>
      <c r="C15" s="4">
        <f t="shared" si="0"/>
        <v>4.8283137373023015</v>
      </c>
      <c r="D15" s="4"/>
      <c r="E15" s="4"/>
      <c r="F15" s="4">
        <v>106</v>
      </c>
      <c r="G15" s="4">
        <f t="shared" si="1"/>
        <v>4.6634390941120669</v>
      </c>
      <c r="H15" s="4">
        <v>1.4690000000000001</v>
      </c>
      <c r="I15" s="4">
        <v>1.383</v>
      </c>
      <c r="J15" s="7">
        <f>3.141592653*2/I15</f>
        <v>4.5431564034707161</v>
      </c>
      <c r="K15" s="7">
        <f>J15/4.28</f>
        <v>1.0614851409978308</v>
      </c>
      <c r="L15" s="4">
        <v>31</v>
      </c>
      <c r="M15" s="4">
        <v>166.1</v>
      </c>
      <c r="N15" s="4">
        <v>1.385</v>
      </c>
      <c r="O15" s="7">
        <f t="shared" si="2"/>
        <v>4.5365958888086642</v>
      </c>
      <c r="P15" s="7">
        <f t="shared" si="3"/>
        <v>1.059952310469314</v>
      </c>
      <c r="Q15" s="4">
        <v>29</v>
      </c>
      <c r="R15" s="4">
        <v>156.30000000000001</v>
      </c>
    </row>
    <row r="16" spans="1:18" x14ac:dyDescent="0.25">
      <c r="A16" s="4">
        <v>14</v>
      </c>
      <c r="B16" s="4">
        <v>125</v>
      </c>
      <c r="C16" s="4">
        <f t="shared" si="0"/>
        <v>4.8283137373023015</v>
      </c>
      <c r="D16" s="4"/>
      <c r="E16" s="4"/>
      <c r="F16" s="4">
        <v>91</v>
      </c>
      <c r="G16" s="4">
        <f t="shared" si="1"/>
        <v>4.5108595065168497</v>
      </c>
      <c r="H16" s="4">
        <v>1.4690000000000001</v>
      </c>
      <c r="I16" s="4">
        <v>1.3620000000000001</v>
      </c>
      <c r="J16" s="7">
        <f>3.141592653*2/I16</f>
        <v>4.6132050704845815</v>
      </c>
      <c r="K16" s="7">
        <f>J16/4.28</f>
        <v>1.0778516519823789</v>
      </c>
      <c r="L16" s="4">
        <v>24</v>
      </c>
      <c r="M16" s="4">
        <v>167.3</v>
      </c>
      <c r="N16" s="4">
        <v>1.361</v>
      </c>
      <c r="O16" s="7">
        <f t="shared" si="2"/>
        <v>4.6165946407053635</v>
      </c>
      <c r="P16" s="7">
        <f t="shared" si="3"/>
        <v>1.0786436076414401</v>
      </c>
      <c r="Q16" s="4">
        <v>23</v>
      </c>
      <c r="R16" s="4">
        <v>160.30000000000001</v>
      </c>
    </row>
    <row r="17" spans="1:18" x14ac:dyDescent="0.25">
      <c r="A17" s="4">
        <v>15</v>
      </c>
      <c r="B17" s="4">
        <v>124</v>
      </c>
      <c r="C17" s="4">
        <f t="shared" si="0"/>
        <v>4.8202815656050371</v>
      </c>
      <c r="D17" s="4"/>
      <c r="E17" s="4"/>
      <c r="F17" s="4">
        <v>78</v>
      </c>
      <c r="G17" s="4">
        <f t="shared" si="1"/>
        <v>4.3567088266895917</v>
      </c>
      <c r="H17" s="4">
        <v>1.47</v>
      </c>
      <c r="I17" s="4">
        <v>1.337</v>
      </c>
      <c r="J17" s="7">
        <f>3.141592653*2/I17</f>
        <v>4.6994654495138368</v>
      </c>
      <c r="K17" s="7">
        <f>J17/4.28</f>
        <v>1.0980059461480927</v>
      </c>
      <c r="L17" s="4">
        <v>20</v>
      </c>
      <c r="M17" s="4">
        <v>169.5</v>
      </c>
      <c r="N17" s="4">
        <v>1.3380000000000001</v>
      </c>
      <c r="O17" s="7">
        <f t="shared" si="2"/>
        <v>4.6959531434977579</v>
      </c>
      <c r="P17" s="7">
        <f t="shared" si="3"/>
        <v>1.0971853139013452</v>
      </c>
      <c r="Q17" s="4">
        <v>19</v>
      </c>
      <c r="R17" s="4">
        <v>163</v>
      </c>
    </row>
    <row r="18" spans="1:18" x14ac:dyDescent="0.25">
      <c r="A18" s="4">
        <v>16</v>
      </c>
      <c r="B18" s="4">
        <v>123</v>
      </c>
      <c r="C18" s="4">
        <f t="shared" si="0"/>
        <v>4.8121843553724171</v>
      </c>
      <c r="D18" s="4"/>
      <c r="E18" s="4"/>
      <c r="F18" s="4">
        <v>67</v>
      </c>
      <c r="G18" s="4">
        <f t="shared" si="1"/>
        <v>4.2046926193909657</v>
      </c>
      <c r="H18" s="4">
        <v>1.4710000000000001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4">
        <v>17</v>
      </c>
      <c r="B19" s="4">
        <v>122</v>
      </c>
      <c r="C19" s="4">
        <f t="shared" si="0"/>
        <v>4.8040210447332568</v>
      </c>
      <c r="D19" s="4"/>
      <c r="E19" s="4"/>
      <c r="F19" s="4">
        <v>57</v>
      </c>
      <c r="G19" s="4">
        <f t="shared" si="1"/>
        <v>4.0430512678345503</v>
      </c>
      <c r="H19" s="4">
        <v>1.472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4">
        <v>18</v>
      </c>
      <c r="B20" s="4">
        <v>121</v>
      </c>
      <c r="C20" s="4">
        <f t="shared" si="0"/>
        <v>4.7957905455967413</v>
      </c>
      <c r="D20" s="4"/>
      <c r="E20" s="4"/>
      <c r="F20" s="4">
        <v>49</v>
      </c>
      <c r="G20" s="4">
        <f t="shared" si="1"/>
        <v>3.8918202981106265</v>
      </c>
      <c r="H20" s="4">
        <v>1.472</v>
      </c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4">
        <v>19</v>
      </c>
      <c r="B21" s="4">
        <v>121</v>
      </c>
      <c r="C21" s="4">
        <f t="shared" si="0"/>
        <v>4.7957905455967413</v>
      </c>
      <c r="D21" s="4"/>
      <c r="E21" s="4"/>
      <c r="F21" s="4">
        <v>44</v>
      </c>
      <c r="G21" s="4">
        <f t="shared" si="1"/>
        <v>3.784189633918261</v>
      </c>
      <c r="H21" s="4">
        <v>1.472</v>
      </c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4">
        <v>20</v>
      </c>
      <c r="B22" s="4">
        <v>120</v>
      </c>
      <c r="C22" s="4">
        <f t="shared" si="0"/>
        <v>4.7874917427820458</v>
      </c>
      <c r="D22" s="4"/>
      <c r="E22" s="4"/>
      <c r="F22" s="4">
        <v>38</v>
      </c>
      <c r="G22" s="4">
        <f t="shared" si="1"/>
        <v>3.6375861597263857</v>
      </c>
      <c r="H22" s="4">
        <v>1.4730000000000001</v>
      </c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4">
        <v>21</v>
      </c>
      <c r="B23" s="4">
        <v>119</v>
      </c>
      <c r="C23" s="4">
        <f t="shared" si="0"/>
        <v>4.7791234931115296</v>
      </c>
      <c r="D23" s="4"/>
      <c r="E23" s="4"/>
      <c r="F23" s="4">
        <v>33</v>
      </c>
      <c r="G23" s="4">
        <f t="shared" si="1"/>
        <v>3.4965075614664802</v>
      </c>
      <c r="H23" s="4">
        <v>1.474</v>
      </c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4">
        <v>22</v>
      </c>
      <c r="B24" s="4">
        <v>118</v>
      </c>
      <c r="C24" s="4">
        <f t="shared" si="0"/>
        <v>4.7706846244656651</v>
      </c>
      <c r="D24" s="4"/>
      <c r="E24" s="4"/>
      <c r="F24" s="4"/>
      <c r="G24" s="4"/>
      <c r="H24" s="4">
        <f>AVERAGE(H14:H23)</f>
        <v>1.4710000000000001</v>
      </c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4">
        <v>23</v>
      </c>
      <c r="B25" s="4">
        <v>117</v>
      </c>
      <c r="C25" s="4">
        <f t="shared" si="0"/>
        <v>4.7621739347977563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4">
        <v>24</v>
      </c>
      <c r="B26" s="4">
        <v>117</v>
      </c>
      <c r="C26" s="4">
        <f t="shared" si="0"/>
        <v>4.7621739347977563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4">
        <v>25</v>
      </c>
      <c r="B27" s="4">
        <v>116</v>
      </c>
      <c r="C27" s="4">
        <f t="shared" si="0"/>
        <v>4.7535901911063645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>
        <v>26</v>
      </c>
      <c r="B28" s="4">
        <v>115</v>
      </c>
      <c r="C28" s="4">
        <f t="shared" si="0"/>
        <v>4.7449321283632502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4">
        <v>27</v>
      </c>
      <c r="B29" s="4">
        <v>116</v>
      </c>
      <c r="C29" s="4">
        <f t="shared" si="0"/>
        <v>4.7535901911063645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4">
        <v>28</v>
      </c>
      <c r="B30" s="4">
        <v>114</v>
      </c>
      <c r="C30" s="4">
        <f t="shared" si="0"/>
        <v>4.7361984483944957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4">
        <v>29</v>
      </c>
      <c r="B31" s="4">
        <v>113</v>
      </c>
      <c r="C31" s="4">
        <f t="shared" si="0"/>
        <v>4.7273878187123408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4">
        <v>30</v>
      </c>
      <c r="B32" s="4">
        <v>112</v>
      </c>
      <c r="C32" s="4">
        <f t="shared" si="0"/>
        <v>4.7184988712950942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4">
        <v>31</v>
      </c>
      <c r="B33" s="4">
        <v>111</v>
      </c>
      <c r="C33" s="4">
        <f t="shared" si="0"/>
        <v>4.7095302013123339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4">
        <v>32</v>
      </c>
      <c r="B34" s="4">
        <v>111</v>
      </c>
      <c r="C34" s="4">
        <f t="shared" si="0"/>
        <v>4.7095302013123339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4">
        <v>33</v>
      </c>
      <c r="B35" s="4">
        <v>110</v>
      </c>
      <c r="C35" s="4">
        <f t="shared" si="0"/>
        <v>4.7004803657924166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4">
        <v>34</v>
      </c>
      <c r="B36" s="4">
        <v>109</v>
      </c>
      <c r="C36" s="4">
        <f t="shared" si="0"/>
        <v>4.6913478822291435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4">
        <v>35</v>
      </c>
      <c r="B37" s="4">
        <v>109</v>
      </c>
      <c r="C37" s="4">
        <f t="shared" si="0"/>
        <v>4.6913478822291435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>
        <v>36</v>
      </c>
      <c r="B38" s="4">
        <v>108</v>
      </c>
      <c r="C38" s="4">
        <f t="shared" si="0"/>
        <v>4.6821312271242199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4">
        <v>37</v>
      </c>
      <c r="B39" s="4">
        <v>107</v>
      </c>
      <c r="C39" s="4">
        <f t="shared" si="0"/>
        <v>4.6728288344619058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4">
        <v>38</v>
      </c>
      <c r="B40" s="4">
        <v>106</v>
      </c>
      <c r="C40" s="4">
        <f t="shared" si="0"/>
        <v>4.6634390941120669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4">
        <v>39</v>
      </c>
      <c r="B41" s="4">
        <v>105</v>
      </c>
      <c r="C41" s="4">
        <f t="shared" si="0"/>
        <v>4.6539603501575231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4">
        <v>40</v>
      </c>
      <c r="B42" s="4">
        <v>105</v>
      </c>
      <c r="C42" s="4">
        <f t="shared" si="0"/>
        <v>4.6539603501575231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"/>
      <c r="Q42" s="1"/>
      <c r="R42" s="4"/>
    </row>
    <row r="43" spans="1:18" x14ac:dyDescent="0.25">
      <c r="A43" s="4">
        <v>41</v>
      </c>
      <c r="B43" s="4">
        <v>104</v>
      </c>
      <c r="C43" s="4">
        <f t="shared" si="0"/>
        <v>4.6443908991413725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1"/>
      <c r="Q43" s="1"/>
      <c r="R43" s="4"/>
    </row>
    <row r="44" spans="1:18" x14ac:dyDescent="0.25">
      <c r="A44" s="4">
        <v>42</v>
      </c>
      <c r="B44" s="4">
        <v>103</v>
      </c>
      <c r="C44" s="4">
        <f t="shared" si="0"/>
        <v>4.6347289882296359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"/>
      <c r="Q44" s="1"/>
      <c r="R44" s="4"/>
    </row>
    <row r="45" spans="1:18" x14ac:dyDescent="0.25">
      <c r="A45" s="4">
        <v>43</v>
      </c>
      <c r="B45" s="4">
        <v>103</v>
      </c>
      <c r="C45" s="4">
        <f t="shared" si="0"/>
        <v>4.6347289882296359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"/>
      <c r="Q45" s="1"/>
      <c r="R45" s="4"/>
    </row>
    <row r="46" spans="1:18" x14ac:dyDescent="0.25">
      <c r="A46" s="4">
        <v>44</v>
      </c>
      <c r="B46" s="4">
        <v>102</v>
      </c>
      <c r="C46" s="4">
        <f t="shared" si="0"/>
        <v>4.6249728132842707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"/>
      <c r="Q46" s="1"/>
      <c r="R46" s="4"/>
    </row>
    <row r="47" spans="1:18" x14ac:dyDescent="0.25">
      <c r="A47" s="4">
        <v>45</v>
      </c>
      <c r="B47" s="4">
        <v>101</v>
      </c>
      <c r="C47" s="4">
        <f t="shared" si="0"/>
        <v>4.6151205168412597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"/>
      <c r="Q47" s="1"/>
      <c r="R47" s="4"/>
    </row>
    <row r="48" spans="1:18" x14ac:dyDescent="0.25">
      <c r="A48" s="4">
        <v>46</v>
      </c>
      <c r="B48" s="4">
        <v>101</v>
      </c>
      <c r="C48" s="4">
        <f t="shared" si="0"/>
        <v>4.6151205168412597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"/>
      <c r="Q48" s="1"/>
      <c r="R48" s="4"/>
    </row>
    <row r="49" spans="1:18" x14ac:dyDescent="0.25">
      <c r="A49" s="4">
        <v>47</v>
      </c>
      <c r="B49" s="4">
        <v>99</v>
      </c>
      <c r="C49" s="4">
        <f t="shared" si="0"/>
        <v>4.5951198501345898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"/>
      <c r="Q49" s="1"/>
      <c r="R49" s="4"/>
    </row>
    <row r="50" spans="1:18" x14ac:dyDescent="0.25">
      <c r="A50" s="4">
        <v>48</v>
      </c>
      <c r="B50" s="4">
        <v>99</v>
      </c>
      <c r="C50" s="4">
        <f t="shared" si="0"/>
        <v>4.5951198501345898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"/>
      <c r="Q50" s="1"/>
      <c r="R50" s="4"/>
    </row>
    <row r="51" spans="1:18" x14ac:dyDescent="0.25">
      <c r="A51" s="4">
        <v>49</v>
      </c>
      <c r="B51" s="4">
        <v>98</v>
      </c>
      <c r="C51" s="4">
        <f t="shared" si="0"/>
        <v>4.5849674786705723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"/>
      <c r="Q51" s="1"/>
      <c r="R51" s="4"/>
    </row>
    <row r="52" spans="1:18" x14ac:dyDescent="0.25">
      <c r="A52" s="4">
        <v>50</v>
      </c>
      <c r="B52" s="4">
        <v>97</v>
      </c>
      <c r="C52" s="4">
        <f t="shared" si="0"/>
        <v>4.5747109785033828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"/>
      <c r="Q52" s="1"/>
      <c r="R52" s="4"/>
    </row>
    <row r="53" spans="1:18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"/>
      <c r="Q53" s="1"/>
      <c r="R53" s="4"/>
    </row>
    <row r="54" spans="1:18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"/>
      <c r="Q54" s="1"/>
      <c r="R54" s="4"/>
    </row>
    <row r="55" spans="1:1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1"/>
      <c r="Q55" s="1"/>
      <c r="R55" s="4"/>
    </row>
    <row r="56" spans="1:1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"/>
      <c r="Q56" s="1"/>
      <c r="R56" s="4"/>
    </row>
    <row r="57" spans="1:18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1"/>
      <c r="Q57" s="1"/>
      <c r="R57" s="4"/>
    </row>
    <row r="58" spans="1:18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"/>
      <c r="Q58" s="1"/>
      <c r="R58" s="4"/>
    </row>
    <row r="59" spans="1:1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1"/>
      <c r="Q59" s="1"/>
      <c r="R59" s="4"/>
    </row>
    <row r="60" spans="1:1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"/>
      <c r="Q60" s="1"/>
      <c r="R60" s="4"/>
    </row>
    <row r="61" spans="1:1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"/>
      <c r="Q61" s="1"/>
      <c r="R61" s="4"/>
    </row>
    <row r="62" spans="1:1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"/>
      <c r="Q62" s="1"/>
      <c r="R62" s="4"/>
    </row>
    <row r="63" spans="1:1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"/>
      <c r="Q63" s="1"/>
      <c r="R63" s="4"/>
    </row>
    <row r="64" spans="1:1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"/>
      <c r="Q64" s="1"/>
      <c r="R64" s="4"/>
    </row>
    <row r="65" spans="1:1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"/>
      <c r="Q65" s="1"/>
      <c r="R65" s="4"/>
    </row>
    <row r="66" spans="1:1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"/>
      <c r="Q66" s="1"/>
      <c r="R66" s="4"/>
    </row>
    <row r="67" spans="1:1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"/>
      <c r="Q67" s="1"/>
      <c r="R67" s="4"/>
    </row>
    <row r="68" spans="1:1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"/>
      <c r="Q68" s="1"/>
      <c r="R68" s="4"/>
    </row>
    <row r="69" spans="1:1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"/>
      <c r="Q69" s="1"/>
      <c r="R69" s="4"/>
    </row>
    <row r="70" spans="1:1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"/>
      <c r="Q70" s="1"/>
      <c r="R70" s="4"/>
    </row>
    <row r="71" spans="1:1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"/>
      <c r="Q71" s="1"/>
      <c r="R71" s="4"/>
    </row>
    <row r="72" spans="1:1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"/>
      <c r="Q72" s="1"/>
      <c r="R72" s="4"/>
    </row>
    <row r="73" spans="1:18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"/>
      <c r="Q73" s="1"/>
      <c r="R73" s="4"/>
    </row>
    <row r="74" spans="1:18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"/>
      <c r="Q74" s="1"/>
      <c r="R74" s="4"/>
    </row>
    <row r="75" spans="1:18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"/>
      <c r="Q75" s="1"/>
      <c r="R75" s="4"/>
    </row>
    <row r="76" spans="1:18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"/>
      <c r="Q76" s="1"/>
      <c r="R76" s="4"/>
    </row>
    <row r="77" spans="1:18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"/>
      <c r="Q77" s="1"/>
      <c r="R77" s="4"/>
    </row>
    <row r="78" spans="1:18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"/>
      <c r="Q78" s="1"/>
      <c r="R78" s="4"/>
    </row>
    <row r="79" spans="1:18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"/>
      <c r="Q79" s="1"/>
      <c r="R79" s="4"/>
    </row>
    <row r="80" spans="1:18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"/>
      <c r="Q80" s="1"/>
      <c r="R80" s="4"/>
    </row>
    <row r="81" spans="1:18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"/>
      <c r="Q81" s="1"/>
      <c r="R81" s="4"/>
    </row>
    <row r="82" spans="1:18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"/>
      <c r="Q82" s="1"/>
      <c r="R82" s="4"/>
    </row>
    <row r="83" spans="1:18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"/>
      <c r="Q83" s="1"/>
      <c r="R83" s="4"/>
    </row>
    <row r="84" spans="1:18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"/>
      <c r="Q84" s="1"/>
      <c r="R84" s="4"/>
    </row>
    <row r="85" spans="1:18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"/>
      <c r="Q85" s="1"/>
      <c r="R85" s="4"/>
    </row>
    <row r="86" spans="1:18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"/>
      <c r="Q86" s="1"/>
      <c r="R86" s="4"/>
    </row>
    <row r="87" spans="1:18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"/>
      <c r="Q87" s="1"/>
      <c r="R87" s="4"/>
    </row>
    <row r="88" spans="1:18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"/>
      <c r="Q88" s="1"/>
      <c r="R88" s="4"/>
    </row>
    <row r="89" spans="1:1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"/>
      <c r="Q89" s="1"/>
      <c r="R89" s="4"/>
    </row>
    <row r="90" spans="1:1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"/>
      <c r="Q90" s="1"/>
      <c r="R90" s="4"/>
    </row>
    <row r="91" spans="1:18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"/>
      <c r="Q91" s="1"/>
      <c r="R91" s="4"/>
    </row>
    <row r="92" spans="1:18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"/>
      <c r="Q92" s="1"/>
      <c r="R92" s="4"/>
    </row>
    <row r="93" spans="1:18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"/>
      <c r="Q93" s="1"/>
      <c r="R93" s="4"/>
    </row>
    <row r="94" spans="1:18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"/>
      <c r="Q94" s="1"/>
      <c r="R94" s="4"/>
    </row>
    <row r="95" spans="1:18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"/>
      <c r="Q95" s="1"/>
      <c r="R95" s="4"/>
    </row>
    <row r="96" spans="1:18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1"/>
      <c r="Q96" s="1"/>
      <c r="R96" s="4"/>
    </row>
    <row r="97" spans="1:18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"/>
      <c r="Q97" s="1"/>
      <c r="R97" s="4"/>
    </row>
    <row r="98" spans="1:18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"/>
      <c r="Q98" s="1"/>
      <c r="R98" s="4"/>
    </row>
    <row r="99" spans="1:18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"/>
      <c r="Q99" s="1"/>
      <c r="R99" s="4"/>
    </row>
    <row r="100" spans="1:18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"/>
      <c r="Q100" s="1"/>
      <c r="R100" s="4"/>
    </row>
    <row r="101" spans="1:18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"/>
      <c r="Q101" s="1"/>
      <c r="R101" s="4"/>
    </row>
    <row r="102" spans="1:18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"/>
      <c r="Q102" s="1"/>
      <c r="R102" s="4"/>
    </row>
    <row r="103" spans="1:18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"/>
      <c r="Q103" s="1"/>
      <c r="R103" s="4"/>
    </row>
    <row r="104" spans="1:18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"/>
      <c r="Q104" s="1"/>
      <c r="R104" s="4"/>
    </row>
    <row r="105" spans="1:18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"/>
      <c r="Q105" s="1"/>
      <c r="R105" s="4"/>
    </row>
    <row r="106" spans="1:18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"/>
      <c r="Q106" s="1"/>
      <c r="R106" s="4"/>
    </row>
    <row r="107" spans="1:18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"/>
      <c r="Q107" s="1"/>
      <c r="R107" s="4"/>
    </row>
    <row r="108" spans="1:18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"/>
      <c r="Q108" s="1"/>
      <c r="R108" s="4"/>
    </row>
    <row r="109" spans="1:1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"/>
      <c r="Q109" s="1"/>
      <c r="R109" s="4"/>
    </row>
    <row r="110" spans="1:1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"/>
      <c r="Q110" s="1"/>
      <c r="R110" s="4"/>
    </row>
    <row r="111" spans="1:1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"/>
      <c r="Q111" s="1"/>
      <c r="R111" s="4"/>
    </row>
    <row r="112" spans="1:1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"/>
      <c r="Q112" s="1"/>
      <c r="R112" s="4"/>
    </row>
    <row r="113" spans="1:18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"/>
      <c r="Q113" s="1"/>
      <c r="R113" s="4"/>
    </row>
    <row r="114" spans="1:18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"/>
      <c r="Q114" s="1"/>
      <c r="R114" s="4"/>
    </row>
    <row r="115" spans="1:18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"/>
      <c r="Q115" s="1"/>
      <c r="R115" s="4"/>
    </row>
    <row r="116" spans="1:18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"/>
      <c r="Q116" s="1"/>
      <c r="R116" s="4"/>
    </row>
    <row r="117" spans="1:18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"/>
      <c r="Q117" s="1"/>
      <c r="R117" s="4"/>
    </row>
    <row r="118" spans="1:18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"/>
      <c r="Q118" s="1"/>
      <c r="R118" s="4"/>
    </row>
    <row r="119" spans="1:18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"/>
      <c r="Q119" s="1"/>
      <c r="R119" s="4"/>
    </row>
    <row r="120" spans="1:18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"/>
      <c r="Q120" s="1"/>
      <c r="R120" s="4"/>
    </row>
    <row r="121" spans="1:18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"/>
      <c r="Q121" s="1"/>
      <c r="R121" s="4"/>
    </row>
    <row r="122" spans="1:18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"/>
      <c r="Q122" s="1"/>
      <c r="R122" s="4"/>
    </row>
    <row r="123" spans="1:18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"/>
      <c r="Q123" s="1"/>
      <c r="R123" s="4"/>
    </row>
    <row r="124" spans="1:18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"/>
      <c r="Q124" s="1"/>
      <c r="R124" s="4"/>
    </row>
    <row r="125" spans="1:18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"/>
      <c r="Q125" s="1"/>
      <c r="R125" s="4"/>
    </row>
    <row r="126" spans="1:1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"/>
      <c r="Q126" s="1"/>
      <c r="R126" s="4"/>
    </row>
    <row r="127" spans="1:18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"/>
      <c r="Q127" s="1"/>
      <c r="R127" s="4"/>
    </row>
    <row r="128" spans="1:18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"/>
      <c r="Q128" s="1"/>
      <c r="R128" s="4"/>
    </row>
    <row r="129" spans="1:1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"/>
      <c r="Q129" s="1"/>
      <c r="R129" s="4"/>
    </row>
    <row r="130" spans="1:1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"/>
      <c r="Q130" s="1"/>
      <c r="R130" s="4"/>
    </row>
    <row r="131" spans="1:1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"/>
      <c r="Q131" s="1"/>
      <c r="R131" s="4"/>
    </row>
    <row r="132" spans="1:1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"/>
      <c r="Q132" s="1"/>
      <c r="R132" s="4"/>
    </row>
    <row r="133" spans="1:1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"/>
      <c r="Q133" s="1"/>
      <c r="R133" s="4"/>
    </row>
    <row r="134" spans="1:1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"/>
      <c r="Q134" s="1"/>
      <c r="R134" s="4"/>
    </row>
    <row r="135" spans="1:18" x14ac:dyDescent="0.25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R135" s="3"/>
    </row>
    <row r="136" spans="1:18" x14ac:dyDescent="0.25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R136" s="3"/>
    </row>
    <row r="137" spans="1:18" x14ac:dyDescent="0.25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R137" s="3"/>
    </row>
    <row r="138" spans="1:18" x14ac:dyDescent="0.25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R138" s="3"/>
    </row>
    <row r="139" spans="1:18" x14ac:dyDescent="0.25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R139" s="3"/>
    </row>
    <row r="140" spans="1:18" x14ac:dyDescent="0.25">
      <c r="A140" s="1"/>
      <c r="B140" s="1"/>
    </row>
    <row r="141" spans="1:18" x14ac:dyDescent="0.25">
      <c r="A141" s="1"/>
      <c r="B141" s="1"/>
    </row>
    <row r="142" spans="1:18" x14ac:dyDescent="0.25">
      <c r="A142" s="1"/>
      <c r="B142" s="1"/>
    </row>
  </sheetData>
  <sortState xmlns:xlrd2="http://schemas.microsoft.com/office/spreadsheetml/2017/richdata2" ref="I3:K17">
    <sortCondition descending="1" ref="I3:I17"/>
  </sortState>
  <mergeCells count="3">
    <mergeCell ref="A1:D1"/>
    <mergeCell ref="J1:M1"/>
    <mergeCell ref="O1:R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Hongjin Wu</cp:lastModifiedBy>
  <dcterms:created xsi:type="dcterms:W3CDTF">2023-05-12T11:15:00Z</dcterms:created>
  <dcterms:modified xsi:type="dcterms:W3CDTF">2025-12-02T16:33:41Z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