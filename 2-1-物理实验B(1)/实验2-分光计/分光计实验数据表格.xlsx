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esktop\WHJ\本科\学习\2-1 大二秋 2025-2026\物理实验B(1)-梁昌林\实验2-分光计\"/>
    </mc:Choice>
  </mc:AlternateContent>
  <xr:revisionPtr revIDLastSave="0" documentId="13_ncr:1_{F3D9B926-3056-482A-A8A3-F4FB7F3FD4F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3" i="1"/>
  <c r="B14" i="1"/>
  <c r="B15" i="1"/>
  <c r="B16" i="1"/>
  <c r="B17" i="1"/>
  <c r="B12" i="1"/>
  <c r="I12" i="1"/>
  <c r="M5" i="1"/>
  <c r="M6" i="1"/>
  <c r="M7" i="1"/>
  <c r="M8" i="1"/>
  <c r="M9" i="1"/>
  <c r="M10" i="1"/>
  <c r="M4" i="1"/>
  <c r="L5" i="1"/>
  <c r="L6" i="1"/>
  <c r="L7" i="1"/>
  <c r="L8" i="1"/>
  <c r="L9" i="1"/>
  <c r="L10" i="1"/>
  <c r="L4" i="1"/>
  <c r="K5" i="1"/>
  <c r="K6" i="1"/>
  <c r="K7" i="1"/>
  <c r="K8" i="1"/>
  <c r="K9" i="1"/>
  <c r="K10" i="1"/>
  <c r="K4" i="1"/>
  <c r="J5" i="1"/>
  <c r="J6" i="1"/>
  <c r="J7" i="1"/>
  <c r="J8" i="1"/>
  <c r="J9" i="1"/>
  <c r="J10" i="1"/>
  <c r="J4" i="1"/>
  <c r="I5" i="1"/>
  <c r="I6" i="1"/>
  <c r="I7" i="1"/>
  <c r="I8" i="1"/>
  <c r="I9" i="1"/>
  <c r="I10" i="1"/>
  <c r="I4" i="1"/>
</calcChain>
</file>

<file path=xl/sharedStrings.xml><?xml version="1.0" encoding="utf-8"?>
<sst xmlns="http://schemas.openxmlformats.org/spreadsheetml/2006/main" count="45" uniqueCount="41">
  <si>
    <r>
      <rPr>
        <sz val="11"/>
        <color theme="1"/>
        <rFont val="宋体"/>
        <family val="3"/>
        <charset val="134"/>
      </rPr>
      <t>氦谱线波长（</t>
    </r>
    <r>
      <rPr>
        <sz val="11"/>
        <color theme="1"/>
        <rFont val="Cambria"/>
        <family val="1"/>
      </rPr>
      <t>nm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</si>
  <si>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rPr>
        <b/>
        <sz val="11"/>
        <color theme="1"/>
        <rFont val="宋体"/>
        <family val="3"/>
        <charset val="134"/>
      </rPr>
      <t>实验数据</t>
    </r>
    <phoneticPr fontId="1" type="noConversion"/>
  </si>
  <si>
    <r>
      <rPr>
        <sz val="11"/>
        <color theme="1"/>
        <rFont val="宋体"/>
        <family val="3"/>
        <charset val="134"/>
      </rPr>
      <t>入射光方位角度</t>
    </r>
    <phoneticPr fontId="1" type="noConversion"/>
  </si>
  <si>
    <t>184°49'</t>
    <phoneticPr fontId="1" type="noConversion"/>
  </si>
  <si>
    <t>185°20'</t>
    <phoneticPr fontId="1" type="noConversion"/>
  </si>
  <si>
    <t>185°49'</t>
    <phoneticPr fontId="1" type="noConversion"/>
  </si>
  <si>
    <t>185°57'</t>
    <phoneticPr fontId="1" type="noConversion"/>
  </si>
  <si>
    <t>187°0'</t>
    <phoneticPr fontId="1" type="noConversion"/>
  </si>
  <si>
    <t>187°39'</t>
    <phoneticPr fontId="1" type="noConversion"/>
  </si>
  <si>
    <t>188°0'</t>
    <phoneticPr fontId="1" type="noConversion"/>
  </si>
  <si>
    <t>4°50'</t>
    <phoneticPr fontId="1" type="noConversion"/>
  </si>
  <si>
    <t>5°22'</t>
    <phoneticPr fontId="1" type="noConversion"/>
  </si>
  <si>
    <t>5°49'</t>
    <phoneticPr fontId="1" type="noConversion"/>
  </si>
  <si>
    <t>5°57'</t>
    <phoneticPr fontId="1" type="noConversion"/>
  </si>
  <si>
    <t>7°2'</t>
    <phoneticPr fontId="1" type="noConversion"/>
  </si>
  <si>
    <t>7°39'</t>
    <phoneticPr fontId="1" type="noConversion"/>
  </si>
  <si>
    <t>8°0'</t>
    <phoneticPr fontId="1" type="noConversion"/>
  </si>
  <si>
    <t>52°48'</t>
    <phoneticPr fontId="1" type="noConversion"/>
  </si>
  <si>
    <t>52°17'</t>
    <phoneticPr fontId="1" type="noConversion"/>
  </si>
  <si>
    <t>51°48'</t>
    <phoneticPr fontId="1" type="noConversion"/>
  </si>
  <si>
    <t>51°40'</t>
    <phoneticPr fontId="1" type="noConversion"/>
  </si>
  <si>
    <t>49°58'</t>
    <phoneticPr fontId="1" type="noConversion"/>
  </si>
  <si>
    <t>50°37'</t>
    <phoneticPr fontId="1" type="noConversion"/>
  </si>
  <si>
    <t>49°37'</t>
    <phoneticPr fontId="1" type="noConversion"/>
  </si>
  <si>
    <t>52°46'</t>
    <phoneticPr fontId="1" type="noConversion"/>
  </si>
  <si>
    <t>52°14'</t>
    <phoneticPr fontId="1" type="noConversion"/>
  </si>
  <si>
    <t>51°47'</t>
    <phoneticPr fontId="1" type="noConversion"/>
  </si>
  <si>
    <t>51°39'</t>
    <phoneticPr fontId="1" type="noConversion"/>
  </si>
  <si>
    <t>50°34'</t>
    <phoneticPr fontId="1" type="noConversion"/>
  </si>
  <si>
    <t>49°57'</t>
    <phoneticPr fontId="1" type="noConversion"/>
  </si>
  <si>
    <t>49°36'</t>
    <phoneticPr fontId="1" type="noConversion"/>
  </si>
  <si>
    <t>52°47'</t>
    <phoneticPr fontId="1" type="noConversion"/>
  </si>
  <si>
    <t>52°16'</t>
    <phoneticPr fontId="1" type="noConversion"/>
  </si>
  <si>
    <t>50°36'</t>
    <phoneticPr fontId="1" type="noConversion"/>
  </si>
  <si>
    <t>56°23'</t>
    <phoneticPr fontId="1" type="noConversion"/>
  </si>
  <si>
    <t>56°7'</t>
    <phoneticPr fontId="1" type="noConversion"/>
  </si>
  <si>
    <t>55°53'</t>
    <phoneticPr fontId="1" type="noConversion"/>
  </si>
  <si>
    <t>55°49'</t>
    <phoneticPr fontId="1" type="noConversion"/>
  </si>
  <si>
    <t>55°17'</t>
    <phoneticPr fontId="1" type="noConversion"/>
  </si>
  <si>
    <t>54°58'</t>
    <phoneticPr fontId="1" type="noConversion"/>
  </si>
  <si>
    <t>54°48'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</si>
</sst>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E+00"/>
  </numFmts>
  <fonts count="7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zoomScale="190" zoomScaleNormal="190" workbookViewId="0">
      <selection activeCell="F4" sqref="F4"/>
    </sheetView>
  </sheetViews>
  <sheetFormatPr defaultColWidth="9" defaultRowHeight="14" x14ac:dyDescent="0.25"/>
  <cols>
    <col min="1" max="1" width="11.36328125" customWidth="1"/>
    <col min="2" max="2" width="11.6328125" bestFit="1" customWidth="1"/>
    <col min="9" max="9" width="11.36328125" bestFit="1" customWidth="1"/>
    <col min="10" max="13" width="12.453125" bestFit="1" customWidth="1"/>
  </cols>
  <sheetData>
    <row r="1" spans="1:13" ht="19" customHeight="1" x14ac:dyDescent="0.25">
      <c r="A1" s="5" t="s">
        <v>1</v>
      </c>
      <c r="B1" s="6"/>
      <c r="C1" s="6"/>
      <c r="D1" s="6"/>
      <c r="E1" s="6"/>
      <c r="F1" s="6"/>
      <c r="G1" s="6"/>
      <c r="H1" s="6"/>
    </row>
    <row r="2" spans="1:13" ht="34.5" customHeight="1" x14ac:dyDescent="0.25">
      <c r="A2" s="7" t="s">
        <v>2</v>
      </c>
      <c r="B2" s="6"/>
      <c r="C2" s="6"/>
      <c r="D2" s="6"/>
      <c r="E2" s="6"/>
      <c r="F2" s="6"/>
      <c r="G2" s="6"/>
      <c r="H2" s="6"/>
    </row>
    <row r="3" spans="1:13" ht="28.5" x14ac:dyDescent="0.25">
      <c r="A3" s="7" t="s">
        <v>0</v>
      </c>
      <c r="B3" s="7"/>
      <c r="C3" s="7"/>
      <c r="D3" s="7"/>
      <c r="E3" s="7"/>
      <c r="F3" s="7"/>
      <c r="G3" s="7"/>
      <c r="H3" s="7"/>
    </row>
    <row r="4" spans="1:13" x14ac:dyDescent="0.25">
      <c r="A4" s="7">
        <v>447.1</v>
      </c>
      <c r="B4" s="7" t="s">
        <v>3</v>
      </c>
      <c r="C4" s="7" t="s">
        <v>10</v>
      </c>
      <c r="D4" s="7" t="s">
        <v>17</v>
      </c>
      <c r="E4" s="7" t="s">
        <v>24</v>
      </c>
      <c r="F4" s="7" t="s">
        <v>31</v>
      </c>
      <c r="G4" s="7" t="s">
        <v>34</v>
      </c>
      <c r="H4" s="7">
        <v>1.6664000000000001</v>
      </c>
      <c r="I4">
        <f>A4*A4</f>
        <v>199898.41000000003</v>
      </c>
      <c r="J4" s="8">
        <f>1/A4/A4</f>
        <v>5.0025410407216337E-6</v>
      </c>
      <c r="K4" s="1">
        <f>1/A4/A4/A4/A4</f>
        <v>2.5025416864104288E-11</v>
      </c>
      <c r="L4">
        <f>1/A4/A4/A4/A4/A4/A4</f>
        <v>1.2519067492384901E-16</v>
      </c>
      <c r="M4">
        <f>1/A4/A4/A4/A4/A4/A4/A4/A4</f>
        <v>6.2627148922219543E-22</v>
      </c>
    </row>
    <row r="5" spans="1:13" x14ac:dyDescent="0.25">
      <c r="A5" s="7">
        <v>471.3</v>
      </c>
      <c r="B5" s="7" t="s">
        <v>4</v>
      </c>
      <c r="C5" s="7" t="s">
        <v>11</v>
      </c>
      <c r="D5" s="7" t="s">
        <v>18</v>
      </c>
      <c r="E5" s="7" t="s">
        <v>25</v>
      </c>
      <c r="F5" s="7" t="s">
        <v>32</v>
      </c>
      <c r="G5" s="7" t="s">
        <v>35</v>
      </c>
      <c r="H5" s="7">
        <v>1.6612</v>
      </c>
      <c r="I5">
        <f t="shared" ref="I5:I10" si="0">A5*A5</f>
        <v>222123.69</v>
      </c>
      <c r="J5" s="8">
        <f t="shared" ref="J5:J10" si="1">1/A5/A5</f>
        <v>4.5019961625885106E-6</v>
      </c>
      <c r="K5" s="1">
        <f t="shared" ref="K5:K10" si="2">1/A5/A5/A5/A5</f>
        <v>2.0267969447961676E-11</v>
      </c>
      <c r="L5">
        <f t="shared" ref="L5:L10" si="3">1/A5/A5/A5/A5/A5/A5</f>
        <v>9.1246320678184645E-17</v>
      </c>
      <c r="M5">
        <f t="shared" ref="M5:M10" si="4">1/A5/A5/A5/A5/A5/A5/A5/A5</f>
        <v>4.1079058554350792E-22</v>
      </c>
    </row>
    <row r="6" spans="1:13" x14ac:dyDescent="0.25">
      <c r="A6" s="7">
        <v>492.2</v>
      </c>
      <c r="B6" s="7" t="s">
        <v>5</v>
      </c>
      <c r="C6" s="7" t="s">
        <v>12</v>
      </c>
      <c r="D6" s="7" t="s">
        <v>19</v>
      </c>
      <c r="E6" s="7" t="s">
        <v>26</v>
      </c>
      <c r="F6" s="7" t="s">
        <v>19</v>
      </c>
      <c r="G6" s="7" t="s">
        <v>36</v>
      </c>
      <c r="H6" s="7">
        <v>1.6566000000000001</v>
      </c>
      <c r="I6">
        <f t="shared" si="0"/>
        <v>242260.84</v>
      </c>
      <c r="J6" s="8">
        <f t="shared" si="1"/>
        <v>4.1277822697221723E-6</v>
      </c>
      <c r="K6" s="1">
        <f t="shared" si="2"/>
        <v>1.7038586466232728E-11</v>
      </c>
      <c r="L6">
        <f t="shared" si="3"/>
        <v>7.0331575116443624E-17</v>
      </c>
      <c r="M6">
        <f t="shared" si="4"/>
        <v>2.903134287672891E-22</v>
      </c>
    </row>
    <row r="7" spans="1:13" x14ac:dyDescent="0.25">
      <c r="A7" s="7">
        <v>501.6</v>
      </c>
      <c r="B7" s="7" t="s">
        <v>6</v>
      </c>
      <c r="C7" s="7" t="s">
        <v>13</v>
      </c>
      <c r="D7" s="7" t="s">
        <v>20</v>
      </c>
      <c r="E7" s="7" t="s">
        <v>27</v>
      </c>
      <c r="F7" s="7" t="s">
        <v>20</v>
      </c>
      <c r="G7" s="7" t="s">
        <v>37</v>
      </c>
      <c r="H7" s="7">
        <v>1.6553</v>
      </c>
      <c r="I7">
        <f t="shared" si="0"/>
        <v>251602.56000000003</v>
      </c>
      <c r="J7" s="8">
        <f t="shared" si="1"/>
        <v>3.9745223578011283E-6</v>
      </c>
      <c r="K7" s="1">
        <f t="shared" si="2"/>
        <v>1.5796827972661042E-11</v>
      </c>
      <c r="L7">
        <f t="shared" si="3"/>
        <v>6.2784845959679585E-17</v>
      </c>
      <c r="M7">
        <f t="shared" si="4"/>
        <v>2.4953977399784636E-22</v>
      </c>
    </row>
    <row r="8" spans="1:13" x14ac:dyDescent="0.25">
      <c r="A8" s="7">
        <v>587.6</v>
      </c>
      <c r="B8" s="7" t="s">
        <v>7</v>
      </c>
      <c r="C8" s="7" t="s">
        <v>14</v>
      </c>
      <c r="D8" s="7" t="s">
        <v>22</v>
      </c>
      <c r="E8" s="7" t="s">
        <v>28</v>
      </c>
      <c r="F8" s="7" t="s">
        <v>33</v>
      </c>
      <c r="G8" s="7" t="s">
        <v>38</v>
      </c>
      <c r="H8" s="7">
        <v>1.6448</v>
      </c>
      <c r="I8">
        <f t="shared" si="0"/>
        <v>345273.76</v>
      </c>
      <c r="J8" s="8">
        <f t="shared" si="1"/>
        <v>2.8962525272699549E-6</v>
      </c>
      <c r="K8" s="1">
        <f t="shared" si="2"/>
        <v>8.3882787017176013E-12</v>
      </c>
      <c r="L8">
        <f t="shared" si="3"/>
        <v>2.4294573389294339E-17</v>
      </c>
      <c r="M8">
        <f t="shared" si="4"/>
        <v>7.0363219577689126E-23</v>
      </c>
    </row>
    <row r="9" spans="1:13" x14ac:dyDescent="0.25">
      <c r="A9" s="7">
        <v>667.8</v>
      </c>
      <c r="B9" s="7" t="s">
        <v>8</v>
      </c>
      <c r="C9" s="7" t="s">
        <v>15</v>
      </c>
      <c r="D9" s="7" t="s">
        <v>21</v>
      </c>
      <c r="E9" s="7" t="s">
        <v>29</v>
      </c>
      <c r="F9" s="7" t="s">
        <v>21</v>
      </c>
      <c r="G9" s="7" t="s">
        <v>39</v>
      </c>
      <c r="H9" s="7">
        <v>1.6385000000000001</v>
      </c>
      <c r="I9">
        <f t="shared" si="0"/>
        <v>445956.83999999997</v>
      </c>
      <c r="J9" s="8">
        <f t="shared" si="1"/>
        <v>2.2423694633767702E-6</v>
      </c>
      <c r="K9" s="1">
        <f t="shared" si="2"/>
        <v>5.0282208102846239E-12</v>
      </c>
      <c r="L9">
        <f t="shared" si="3"/>
        <v>1.127512880009784E-17</v>
      </c>
      <c r="M9">
        <f t="shared" si="4"/>
        <v>2.5283004516979357E-23</v>
      </c>
    </row>
    <row r="10" spans="1:13" x14ac:dyDescent="0.25">
      <c r="A10" s="7">
        <v>706.6</v>
      </c>
      <c r="B10" s="7" t="s">
        <v>9</v>
      </c>
      <c r="C10" s="7" t="s">
        <v>16</v>
      </c>
      <c r="D10" s="7" t="s">
        <v>23</v>
      </c>
      <c r="E10" s="7" t="s">
        <v>30</v>
      </c>
      <c r="F10" s="7" t="s">
        <v>23</v>
      </c>
      <c r="G10" s="7" t="s">
        <v>40</v>
      </c>
      <c r="H10" s="7">
        <v>1.6351</v>
      </c>
      <c r="I10">
        <f t="shared" si="0"/>
        <v>499283.56000000006</v>
      </c>
      <c r="J10" s="8">
        <f t="shared" si="1"/>
        <v>2.0028698721824525E-6</v>
      </c>
      <c r="K10" s="1">
        <f t="shared" si="2"/>
        <v>4.0114877248961535E-12</v>
      </c>
      <c r="L10">
        <f t="shared" si="3"/>
        <v>8.0344879068242376E-18</v>
      </c>
      <c r="M10">
        <f t="shared" si="4"/>
        <v>1.6092033766992522E-23</v>
      </c>
    </row>
    <row r="11" spans="1:13" x14ac:dyDescent="0.25">
      <c r="A11" s="2"/>
      <c r="B11" s="2"/>
      <c r="C11" s="2"/>
      <c r="D11" s="2"/>
      <c r="E11" s="2"/>
      <c r="F11" s="2"/>
      <c r="G11" s="2"/>
      <c r="H11" s="2"/>
    </row>
    <row r="12" spans="1:13" x14ac:dyDescent="0.25">
      <c r="A12" s="2"/>
      <c r="B12" s="2">
        <f>H4*H4</f>
        <v>2.7768889600000004</v>
      </c>
      <c r="C12" s="2"/>
      <c r="D12" s="2"/>
      <c r="E12" s="2"/>
      <c r="F12" s="2"/>
      <c r="G12" s="2"/>
      <c r="H12" s="2"/>
      <c r="I12" s="8">
        <f>1.81372+3.06233*0.0000001*I4-1.49994*J4-0.24997*K4+0.16669*L4+0.37501*M4</f>
        <v>1.8749279862718657</v>
      </c>
    </row>
    <row r="13" spans="1:13" x14ac:dyDescent="0.25">
      <c r="A13" s="2"/>
      <c r="B13" s="2">
        <f t="shared" ref="B13:B18" si="5">H5*H5</f>
        <v>2.7595854399999999</v>
      </c>
      <c r="C13" s="2"/>
      <c r="D13" s="2"/>
      <c r="E13" s="2"/>
      <c r="F13" s="2"/>
      <c r="G13" s="2"/>
      <c r="H13" s="2"/>
    </row>
    <row r="14" spans="1:13" x14ac:dyDescent="0.25">
      <c r="A14" s="3"/>
      <c r="B14" s="2">
        <f t="shared" si="5"/>
        <v>2.7443235600000002</v>
      </c>
      <c r="C14" s="3"/>
      <c r="D14" s="3"/>
      <c r="E14" s="3"/>
      <c r="F14" s="3"/>
      <c r="G14" s="3"/>
      <c r="H14" s="3"/>
    </row>
    <row r="15" spans="1:13" x14ac:dyDescent="0.25">
      <c r="A15" s="3"/>
      <c r="B15" s="2">
        <f t="shared" si="5"/>
        <v>2.74001809</v>
      </c>
      <c r="C15" s="3"/>
      <c r="D15" s="3"/>
      <c r="E15" s="3"/>
      <c r="F15" s="3"/>
      <c r="G15" s="3"/>
      <c r="H15" s="3"/>
    </row>
    <row r="16" spans="1:13" x14ac:dyDescent="0.25">
      <c r="A16" s="4"/>
      <c r="B16" s="2">
        <f t="shared" si="5"/>
        <v>2.7053670400000001</v>
      </c>
      <c r="C16" s="4"/>
      <c r="D16" s="4"/>
      <c r="E16" s="4"/>
      <c r="F16" s="4"/>
      <c r="G16" s="4"/>
      <c r="H16" s="4"/>
    </row>
    <row r="17" spans="2:2" x14ac:dyDescent="0.25">
      <c r="B17" s="2">
        <f t="shared" si="5"/>
        <v>2.6846822500000003</v>
      </c>
    </row>
    <row r="18" spans="2:2" x14ac:dyDescent="0.25">
      <c r="B18" s="2">
        <f t="shared" si="5"/>
        <v>2.6735520099999999</v>
      </c>
    </row>
  </sheetData>
  <mergeCells count="2">
    <mergeCell ref="A1:H1"/>
    <mergeCell ref="B2:H2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Hongjin Wu</cp:lastModifiedBy>
  <dcterms:created xsi:type="dcterms:W3CDTF">2023-05-12T11:15:00Z</dcterms:created>
  <dcterms:modified xsi:type="dcterms:W3CDTF">2025-11-04T15:03:24Z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