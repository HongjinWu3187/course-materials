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esktop\WHJ\本科\学习\2-1 大二秋 2025-2026\物理实验B(1)-梁昌林\实验1-空气\"/>
    </mc:Choice>
  </mc:AlternateContent>
  <xr:revisionPtr revIDLastSave="0" documentId="13_ncr:1_{D73DF900-2E40-4901-92E4-36B822073F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3" i="1"/>
  <c r="D4" i="1"/>
  <c r="D5" i="1"/>
  <c r="D6" i="1"/>
  <c r="D7" i="1"/>
  <c r="D8" i="1"/>
  <c r="D9" i="1"/>
  <c r="D10" i="1"/>
  <c r="D11" i="1"/>
  <c r="D12" i="1"/>
  <c r="D13" i="1"/>
  <c r="D3" i="1"/>
</calcChain>
</file>

<file path=xl/sharedStrings.xml><?xml version="1.0" encoding="utf-8"?>
<sst xmlns="http://schemas.openxmlformats.org/spreadsheetml/2006/main" count="6" uniqueCount="6">
  <si>
    <r>
      <rPr>
        <b/>
        <sz val="11"/>
        <color theme="1"/>
        <rFont val="宋体"/>
        <family val="3"/>
        <charset val="134"/>
      </rPr>
      <t>实验数据</t>
    </r>
    <phoneticPr fontId="1" type="noConversion"/>
  </si>
  <si>
    <r>
      <rPr>
        <sz val="11"/>
        <color theme="1"/>
        <rFont val="宋体"/>
        <family val="3"/>
        <charset val="134"/>
      </rPr>
      <t>序号</t>
    </r>
    <phoneticPr fontId="1" type="noConversion"/>
  </si>
  <si>
    <r>
      <rPr>
        <sz val="11"/>
        <color theme="1"/>
        <rFont val="宋体"/>
        <family val="3"/>
        <charset val="134"/>
      </rPr>
      <t>温度传感器输出电压（</t>
    </r>
    <r>
      <rPr>
        <sz val="11"/>
        <color theme="1"/>
        <rFont val="Times New Roman"/>
        <family val="1"/>
      </rPr>
      <t>mV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</si>
  <si>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差压传感器输出电压（</t>
    </r>
    <r>
      <rPr>
        <sz val="11"/>
        <color theme="1"/>
        <rFont val="Times New Roman"/>
        <family val="1"/>
      </rPr>
      <t>mV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</si>
  <si>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实际温度（℃）</t>
    </r>
    <phoneticPr fontId="1" type="noConversion"/>
  </si>
  <si>
    <r>
      <rPr>
        <sz val="11"/>
        <color theme="1"/>
        <rFont val="宋体"/>
        <family val="3"/>
        <charset val="134"/>
      </rPr>
      <t>实际压强（</t>
    </r>
    <r>
      <rPr>
        <sz val="11"/>
        <color theme="1"/>
        <rFont val="Times New Roman"/>
        <family val="1"/>
      </rPr>
      <t>kPa</t>
    </r>
    <r>
      <rPr>
        <sz val="11"/>
        <color theme="1"/>
        <rFont val="宋体"/>
        <family val="3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</si>
</sst>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160" zoomScaleNormal="160" workbookViewId="0">
      <selection activeCell="E3" sqref="E3:E13"/>
    </sheetView>
  </sheetViews>
  <sheetFormatPr defaultColWidth="9" defaultRowHeight="14" x14ac:dyDescent="0.25"/>
  <cols>
    <col min="2" max="2" width="13.81640625" customWidth="1"/>
    <col min="3" max="3" width="13.7265625" customWidth="1"/>
  </cols>
  <sheetData>
    <row r="1" spans="1:5" ht="18.5" customHeight="1" x14ac:dyDescent="0.25">
      <c r="A1" s="4" t="s">
        <v>0</v>
      </c>
      <c r="B1" s="4"/>
      <c r="C1" s="4"/>
      <c r="D1" s="4"/>
      <c r="E1" s="4"/>
    </row>
    <row r="2" spans="1:5" ht="28.5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25">
      <c r="A3" s="5">
        <v>1</v>
      </c>
      <c r="B3" s="5">
        <v>111.37</v>
      </c>
      <c r="C3" s="5">
        <v>0.02</v>
      </c>
      <c r="D3" s="6">
        <f>2.33*B3-234.74</f>
        <v>24.752099999999984</v>
      </c>
      <c r="E3" s="6">
        <f>101.24+(C3-0.02)/0.42197</f>
        <v>101.24</v>
      </c>
    </row>
    <row r="4" spans="1:5" x14ac:dyDescent="0.25">
      <c r="A4" s="5">
        <v>2</v>
      </c>
      <c r="B4" s="5">
        <v>113.89</v>
      </c>
      <c r="C4" s="5">
        <v>0.71</v>
      </c>
      <c r="D4" s="6">
        <f t="shared" ref="D4:D13" si="0">2.33*B4-234.74</f>
        <v>30.623699999999985</v>
      </c>
      <c r="E4" s="6">
        <f t="shared" ref="E4:E13" si="1">101.24+(C4-0.02)/0.42197</f>
        <v>102.87518733559257</v>
      </c>
    </row>
    <row r="5" spans="1:5" x14ac:dyDescent="0.25">
      <c r="A5" s="5">
        <v>3</v>
      </c>
      <c r="B5" s="5">
        <v>116.1</v>
      </c>
      <c r="C5" s="5">
        <v>1.32</v>
      </c>
      <c r="D5" s="6">
        <f t="shared" si="0"/>
        <v>35.772999999999968</v>
      </c>
      <c r="E5" s="6">
        <f t="shared" si="1"/>
        <v>104.32078773372514</v>
      </c>
    </row>
    <row r="6" spans="1:5" x14ac:dyDescent="0.25">
      <c r="A6" s="5">
        <v>4</v>
      </c>
      <c r="B6" s="5">
        <v>118.5</v>
      </c>
      <c r="C6" s="5">
        <v>2.13</v>
      </c>
      <c r="D6" s="6">
        <f t="shared" si="0"/>
        <v>41.365000000000009</v>
      </c>
      <c r="E6" s="6">
        <f t="shared" si="1"/>
        <v>106.24035547550773</v>
      </c>
    </row>
    <row r="7" spans="1:5" x14ac:dyDescent="0.25">
      <c r="A7" s="5">
        <v>5</v>
      </c>
      <c r="B7" s="5">
        <v>121.05</v>
      </c>
      <c r="C7" s="5">
        <v>3</v>
      </c>
      <c r="D7" s="6">
        <f t="shared" si="0"/>
        <v>47.306499999999971</v>
      </c>
      <c r="E7" s="6">
        <f t="shared" si="1"/>
        <v>108.30211342038533</v>
      </c>
    </row>
    <row r="8" spans="1:5" x14ac:dyDescent="0.25">
      <c r="A8" s="5">
        <v>6</v>
      </c>
      <c r="B8" s="5">
        <v>123.23</v>
      </c>
      <c r="C8" s="5">
        <v>3.64</v>
      </c>
      <c r="D8" s="6">
        <f t="shared" si="0"/>
        <v>52.385899999999992</v>
      </c>
      <c r="E8" s="6">
        <f t="shared" si="1"/>
        <v>109.81880892006541</v>
      </c>
    </row>
    <row r="9" spans="1:5" x14ac:dyDescent="0.25">
      <c r="A9" s="5">
        <v>7</v>
      </c>
      <c r="B9" s="5">
        <v>125.63</v>
      </c>
      <c r="C9" s="5">
        <v>4.46</v>
      </c>
      <c r="D9" s="6">
        <f t="shared" si="0"/>
        <v>57.977899999999977</v>
      </c>
      <c r="E9" s="6">
        <f t="shared" si="1"/>
        <v>111.7620750290305</v>
      </c>
    </row>
    <row r="10" spans="1:5" x14ac:dyDescent="0.25">
      <c r="A10" s="5">
        <v>8</v>
      </c>
      <c r="B10" s="5">
        <v>128.16999999999999</v>
      </c>
      <c r="C10" s="5">
        <v>5.38</v>
      </c>
      <c r="D10" s="6">
        <f t="shared" si="0"/>
        <v>63.89609999999999</v>
      </c>
      <c r="E10" s="6">
        <f t="shared" si="1"/>
        <v>113.9423248098206</v>
      </c>
    </row>
    <row r="11" spans="1:5" x14ac:dyDescent="0.25">
      <c r="A11" s="5">
        <v>9</v>
      </c>
      <c r="B11" s="5">
        <v>130.57</v>
      </c>
      <c r="C11" s="5">
        <v>5.9</v>
      </c>
      <c r="D11" s="6">
        <f t="shared" si="0"/>
        <v>69.488099999999974</v>
      </c>
      <c r="E11" s="6">
        <f t="shared" si="1"/>
        <v>115.17463990331066</v>
      </c>
    </row>
    <row r="12" spans="1:5" x14ac:dyDescent="0.25">
      <c r="A12" s="5">
        <v>10</v>
      </c>
      <c r="B12" s="5">
        <v>133.19</v>
      </c>
      <c r="C12" s="5">
        <v>6.83</v>
      </c>
      <c r="D12" s="6">
        <f t="shared" si="0"/>
        <v>75.592699999999979</v>
      </c>
      <c r="E12" s="6">
        <f t="shared" si="1"/>
        <v>117.37858805128326</v>
      </c>
    </row>
    <row r="13" spans="1:5" x14ac:dyDescent="0.25">
      <c r="A13" s="5">
        <v>11</v>
      </c>
      <c r="B13" s="5">
        <v>135.41999999999999</v>
      </c>
      <c r="C13" s="5">
        <v>7.49</v>
      </c>
      <c r="D13" s="6">
        <f t="shared" si="0"/>
        <v>80.788599999999974</v>
      </c>
      <c r="E13" s="6">
        <f t="shared" si="1"/>
        <v>118.94268028532834</v>
      </c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1"/>
      <c r="B20" s="1"/>
      <c r="C20" s="1"/>
      <c r="D20" s="1"/>
      <c r="E20" s="1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Hongjin Wu</cp:lastModifiedBy>
  <dcterms:created xsi:type="dcterms:W3CDTF">2023-05-12T11:15:00Z</dcterms:created>
  <dcterms:modified xsi:type="dcterms:W3CDTF">2025-10-21T14:31:37Z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