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WHJ\本科\学习\2-1 大二秋 2025-2026\物理实验B(1)-梁昌林\实验5-热导\"/>
    </mc:Choice>
  </mc:AlternateContent>
  <xr:revisionPtr revIDLastSave="0" documentId="13_ncr:1_{5B627309-5927-404C-876A-8DD54FEA91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4" i="1"/>
  <c r="F4" i="1" s="1"/>
  <c r="E5" i="1"/>
  <c r="F5" i="1" s="1"/>
  <c r="E6" i="1"/>
  <c r="E7" i="1"/>
  <c r="E8" i="1"/>
  <c r="E9" i="1"/>
  <c r="E10" i="1"/>
  <c r="E11" i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" i="1"/>
  <c r="F6" i="1"/>
  <c r="F7" i="1"/>
  <c r="F8" i="1"/>
  <c r="F9" i="1"/>
  <c r="F10" i="1"/>
  <c r="F11" i="1"/>
  <c r="F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" i="1"/>
</calcChain>
</file>

<file path=xl/sharedStrings.xml><?xml version="1.0" encoding="utf-8"?>
<sst xmlns="http://schemas.openxmlformats.org/spreadsheetml/2006/main" count="6" uniqueCount="6">
  <si>
    <r>
      <rPr>
        <b/>
        <sz val="11"/>
        <color theme="1"/>
        <rFont val="宋体"/>
        <family val="3"/>
        <charset val="134"/>
      </rPr>
      <t>实验数据</t>
    </r>
    <phoneticPr fontId="1" type="noConversion"/>
  </si>
  <si>
    <t>tau</t>
    <phoneticPr fontId="1" type="noConversion"/>
  </si>
  <si>
    <t>U1</t>
    <phoneticPr fontId="1" type="noConversion"/>
  </si>
  <si>
    <t>U2</t>
    <phoneticPr fontId="1" type="noConversion"/>
  </si>
  <si>
    <t>t1</t>
    <phoneticPr fontId="1" type="noConversion"/>
  </si>
  <si>
    <t>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</si>
</sst>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E+00"/>
    <numFmt numFmtId="178" formatCode="0.000"/>
    <numFmt numFmtId="179" formatCode="0.000_ 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7"/>
  <sheetViews>
    <sheetView tabSelected="1" topLeftCell="A11" zoomScale="190" zoomScaleNormal="190" workbookViewId="0">
      <selection activeCell="G24" sqref="G24"/>
    </sheetView>
  </sheetViews>
  <sheetFormatPr defaultColWidth="9" defaultRowHeight="14" x14ac:dyDescent="0.25"/>
  <cols>
    <col min="1" max="1" width="11.36328125" customWidth="1"/>
    <col min="2" max="2" width="11.6328125" bestFit="1" customWidth="1"/>
    <col min="6" max="6" width="9" style="4"/>
    <col min="9" max="9" width="11.36328125" bestFit="1" customWidth="1"/>
    <col min="10" max="13" width="12.453125" bestFit="1" customWidth="1"/>
  </cols>
  <sheetData>
    <row r="1" spans="1:13" ht="19" customHeight="1" x14ac:dyDescent="0.25">
      <c r="A1" s="9" t="s">
        <v>0</v>
      </c>
      <c r="B1" s="9"/>
      <c r="C1" s="9"/>
      <c r="D1" s="9"/>
      <c r="E1" s="9"/>
      <c r="F1" s="9"/>
      <c r="G1" s="3"/>
      <c r="H1" s="3"/>
      <c r="I1" s="2"/>
      <c r="J1" s="2"/>
      <c r="K1" s="2"/>
      <c r="L1" s="2"/>
      <c r="M1" s="4"/>
    </row>
    <row r="2" spans="1:13" ht="19.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F2" s="3" t="s">
        <v>5</v>
      </c>
      <c r="G2" s="3"/>
      <c r="H2" s="3"/>
      <c r="I2" s="2"/>
      <c r="J2" s="2"/>
      <c r="K2" s="2"/>
      <c r="L2" s="2"/>
      <c r="M2" s="4"/>
    </row>
    <row r="3" spans="1:13" x14ac:dyDescent="0.25">
      <c r="A3" s="3">
        <v>0</v>
      </c>
      <c r="B3" s="6">
        <v>1E-3</v>
      </c>
      <c r="C3" s="3">
        <v>2.1999999999999999E-2</v>
      </c>
      <c r="D3" s="6">
        <f>B3/0.04+22.5</f>
        <v>22.524999999999999</v>
      </c>
      <c r="E3" s="6">
        <f>C3/0.04</f>
        <v>0.54999999999999993</v>
      </c>
      <c r="F3" s="10">
        <f>E3+D3</f>
        <v>23.074999999999999</v>
      </c>
      <c r="G3" s="3"/>
      <c r="H3" s="3"/>
      <c r="I3" s="2"/>
      <c r="J3" s="2"/>
      <c r="K3" s="2"/>
      <c r="L3" s="2"/>
      <c r="M3" s="4"/>
    </row>
    <row r="4" spans="1:13" x14ac:dyDescent="0.25">
      <c r="A4" s="3">
        <v>1</v>
      </c>
      <c r="B4" s="6">
        <v>2.3E-2</v>
      </c>
      <c r="C4" s="3">
        <v>8.6999999999999994E-2</v>
      </c>
      <c r="D4" s="6">
        <f t="shared" ref="D4:D29" si="0">B4/0.04+22.5</f>
        <v>23.074999999999999</v>
      </c>
      <c r="E4" s="6">
        <f t="shared" ref="E4:E29" si="1">C4/0.04</f>
        <v>2.1749999999999998</v>
      </c>
      <c r="F4" s="10">
        <f t="shared" ref="F4:F29" si="2">E4+D4</f>
        <v>25.25</v>
      </c>
      <c r="G4" s="3"/>
      <c r="H4" s="3"/>
      <c r="I4" s="2"/>
      <c r="J4" s="5"/>
      <c r="K4" s="2"/>
      <c r="L4" s="2"/>
      <c r="M4" s="4"/>
    </row>
    <row r="5" spans="1:13" x14ac:dyDescent="0.25">
      <c r="A5" s="3">
        <v>2</v>
      </c>
      <c r="B5" s="6">
        <v>2.9000000000000001E-2</v>
      </c>
      <c r="C5" s="3">
        <v>0.122</v>
      </c>
      <c r="D5" s="6">
        <f t="shared" si="0"/>
        <v>23.225000000000001</v>
      </c>
      <c r="E5" s="6">
        <f t="shared" si="1"/>
        <v>3.05</v>
      </c>
      <c r="F5" s="10">
        <f t="shared" si="2"/>
        <v>26.275000000000002</v>
      </c>
      <c r="G5" s="3"/>
      <c r="H5" s="3"/>
      <c r="I5" s="2"/>
      <c r="J5" s="5"/>
      <c r="K5" s="2"/>
      <c r="L5" s="2"/>
      <c r="M5" s="4"/>
    </row>
    <row r="6" spans="1:13" x14ac:dyDescent="0.25">
      <c r="A6" s="3">
        <v>3</v>
      </c>
      <c r="B6" s="6">
        <v>4.1000000000000002E-2</v>
      </c>
      <c r="C6" s="3">
        <v>0.14199999999999999</v>
      </c>
      <c r="D6" s="6">
        <f t="shared" si="0"/>
        <v>23.524999999999999</v>
      </c>
      <c r="E6" s="6">
        <f t="shared" si="1"/>
        <v>3.55</v>
      </c>
      <c r="F6" s="10">
        <f t="shared" si="2"/>
        <v>27.074999999999999</v>
      </c>
      <c r="G6" s="3"/>
      <c r="H6" s="3"/>
      <c r="I6" s="2"/>
      <c r="J6" s="5"/>
      <c r="K6" s="2"/>
      <c r="L6" s="2"/>
      <c r="M6" s="4"/>
    </row>
    <row r="7" spans="1:13" x14ac:dyDescent="0.25">
      <c r="A7" s="3">
        <v>4</v>
      </c>
      <c r="B7" s="6">
        <v>5.7000000000000002E-2</v>
      </c>
      <c r="C7" s="3">
        <v>0.153</v>
      </c>
      <c r="D7" s="6">
        <f t="shared" si="0"/>
        <v>23.925000000000001</v>
      </c>
      <c r="E7" s="6">
        <f t="shared" si="1"/>
        <v>3.8249999999999997</v>
      </c>
      <c r="F7" s="10">
        <f t="shared" si="2"/>
        <v>27.75</v>
      </c>
      <c r="G7" s="3"/>
      <c r="H7" s="3"/>
      <c r="I7" s="2"/>
      <c r="J7" s="5"/>
      <c r="K7" s="2"/>
      <c r="L7" s="2"/>
      <c r="M7" s="4"/>
    </row>
    <row r="8" spans="1:13" x14ac:dyDescent="0.25">
      <c r="A8" s="3">
        <v>5</v>
      </c>
      <c r="B8" s="6">
        <v>7.5999999999999998E-2</v>
      </c>
      <c r="C8" s="3">
        <v>0.159</v>
      </c>
      <c r="D8" s="6">
        <f t="shared" si="0"/>
        <v>24.4</v>
      </c>
      <c r="E8" s="6">
        <f t="shared" si="1"/>
        <v>3.9750000000000001</v>
      </c>
      <c r="F8" s="10">
        <f t="shared" si="2"/>
        <v>28.375</v>
      </c>
      <c r="G8" s="3"/>
      <c r="H8" s="3"/>
      <c r="I8" s="2"/>
      <c r="J8" s="5"/>
      <c r="K8" s="2"/>
      <c r="L8" s="2"/>
      <c r="M8" s="4"/>
    </row>
    <row r="9" spans="1:13" x14ac:dyDescent="0.25">
      <c r="A9" s="3">
        <v>6</v>
      </c>
      <c r="B9" s="6">
        <v>9.6000000000000002E-2</v>
      </c>
      <c r="C9" s="3">
        <v>0.16300000000000001</v>
      </c>
      <c r="D9" s="6">
        <f t="shared" si="0"/>
        <v>24.9</v>
      </c>
      <c r="E9" s="6">
        <f t="shared" si="1"/>
        <v>4.0750000000000002</v>
      </c>
      <c r="F9" s="10">
        <f t="shared" si="2"/>
        <v>28.974999999999998</v>
      </c>
      <c r="G9" s="3"/>
      <c r="H9" s="3"/>
      <c r="I9" s="2"/>
      <c r="J9" s="5"/>
      <c r="K9" s="2"/>
      <c r="L9" s="2"/>
      <c r="M9" s="4"/>
    </row>
    <row r="10" spans="1:13" x14ac:dyDescent="0.25">
      <c r="A10" s="3">
        <v>7</v>
      </c>
      <c r="B10" s="6">
        <v>0.115</v>
      </c>
      <c r="C10" s="3">
        <v>0.16400000000000001</v>
      </c>
      <c r="D10" s="6">
        <f t="shared" si="0"/>
        <v>25.375</v>
      </c>
      <c r="E10" s="6">
        <f t="shared" si="1"/>
        <v>4.0999999999999996</v>
      </c>
      <c r="F10" s="10">
        <f t="shared" si="2"/>
        <v>29.475000000000001</v>
      </c>
      <c r="G10" s="3"/>
      <c r="H10" s="3"/>
      <c r="I10" s="2"/>
      <c r="J10" s="5"/>
      <c r="K10" s="2"/>
      <c r="L10" s="2"/>
      <c r="M10" s="4"/>
    </row>
    <row r="11" spans="1:13" x14ac:dyDescent="0.25">
      <c r="A11" s="3">
        <v>8</v>
      </c>
      <c r="B11" s="7">
        <v>0.13700000000000001</v>
      </c>
      <c r="C11" s="1">
        <v>0.16500000000000001</v>
      </c>
      <c r="D11" s="6">
        <f t="shared" si="0"/>
        <v>25.925000000000001</v>
      </c>
      <c r="E11" s="6">
        <f t="shared" si="1"/>
        <v>4.125</v>
      </c>
      <c r="F11" s="10">
        <f t="shared" si="2"/>
        <v>30.05</v>
      </c>
      <c r="G11" s="1"/>
      <c r="H11" s="1"/>
      <c r="I11" s="2"/>
      <c r="J11" s="2"/>
      <c r="K11" s="2"/>
      <c r="L11" s="2"/>
      <c r="M11" s="4"/>
    </row>
    <row r="12" spans="1:13" x14ac:dyDescent="0.25">
      <c r="A12" s="3">
        <v>9</v>
      </c>
      <c r="B12" s="7">
        <v>0.158</v>
      </c>
      <c r="C12" s="1">
        <v>0.16600000000000001</v>
      </c>
      <c r="D12" s="6">
        <f t="shared" si="0"/>
        <v>26.45</v>
      </c>
      <c r="E12" s="6">
        <f t="shared" si="1"/>
        <v>4.1500000000000004</v>
      </c>
      <c r="F12" s="10">
        <f t="shared" si="2"/>
        <v>30.6</v>
      </c>
      <c r="G12" s="1"/>
      <c r="H12" s="1"/>
      <c r="I12" s="5"/>
      <c r="J12" s="2"/>
      <c r="K12" s="2"/>
      <c r="L12" s="2"/>
      <c r="M12" s="4"/>
    </row>
    <row r="13" spans="1:13" x14ac:dyDescent="0.25">
      <c r="A13" s="3">
        <v>10</v>
      </c>
      <c r="B13" s="7">
        <v>0.18</v>
      </c>
      <c r="C13" s="1">
        <v>0.16600000000000001</v>
      </c>
      <c r="D13" s="6">
        <f t="shared" si="0"/>
        <v>27</v>
      </c>
      <c r="E13" s="6">
        <f t="shared" si="1"/>
        <v>4.1500000000000004</v>
      </c>
      <c r="F13" s="10">
        <f t="shared" si="2"/>
        <v>31.15</v>
      </c>
      <c r="G13" s="1"/>
      <c r="H13" s="1"/>
      <c r="I13" s="2"/>
      <c r="J13" s="2"/>
      <c r="K13" s="2"/>
      <c r="L13" s="2"/>
      <c r="M13" s="4"/>
    </row>
    <row r="14" spans="1:13" x14ac:dyDescent="0.25">
      <c r="A14" s="3">
        <v>11</v>
      </c>
      <c r="B14" s="7">
        <v>0.20200000000000001</v>
      </c>
      <c r="C14" s="1">
        <v>0.16600000000000001</v>
      </c>
      <c r="D14" s="6">
        <f t="shared" si="0"/>
        <v>27.55</v>
      </c>
      <c r="E14" s="6">
        <f t="shared" si="1"/>
        <v>4.1500000000000004</v>
      </c>
      <c r="F14" s="10">
        <f t="shared" si="2"/>
        <v>31.700000000000003</v>
      </c>
      <c r="G14" s="2"/>
      <c r="H14" s="2"/>
      <c r="I14" s="2"/>
      <c r="J14" s="2"/>
      <c r="K14" s="2"/>
      <c r="L14" s="2"/>
      <c r="M14" s="4"/>
    </row>
    <row r="15" spans="1:13" x14ac:dyDescent="0.25">
      <c r="A15" s="3">
        <v>12</v>
      </c>
      <c r="B15" s="7">
        <v>0.223</v>
      </c>
      <c r="C15" s="1">
        <v>0.16600000000000001</v>
      </c>
      <c r="D15" s="6">
        <f t="shared" si="0"/>
        <v>28.074999999999999</v>
      </c>
      <c r="E15" s="6">
        <f t="shared" si="1"/>
        <v>4.1500000000000004</v>
      </c>
      <c r="F15" s="10">
        <f t="shared" si="2"/>
        <v>32.225000000000001</v>
      </c>
      <c r="G15" s="2"/>
      <c r="H15" s="2"/>
      <c r="I15" s="2"/>
      <c r="J15" s="2"/>
      <c r="K15" s="2"/>
      <c r="L15" s="2"/>
      <c r="M15" s="4"/>
    </row>
    <row r="16" spans="1:13" x14ac:dyDescent="0.25">
      <c r="A16" s="3">
        <v>13</v>
      </c>
      <c r="B16" s="7">
        <v>0.24399999999999999</v>
      </c>
      <c r="C16" s="1">
        <v>0.16600000000000001</v>
      </c>
      <c r="D16" s="6">
        <f t="shared" si="0"/>
        <v>28.6</v>
      </c>
      <c r="E16" s="6">
        <f t="shared" si="1"/>
        <v>4.1500000000000004</v>
      </c>
      <c r="F16" s="10">
        <f t="shared" si="2"/>
        <v>32.75</v>
      </c>
      <c r="G16" s="2"/>
      <c r="H16" s="2"/>
      <c r="I16" s="2"/>
      <c r="J16" s="2"/>
      <c r="K16" s="2"/>
      <c r="L16" s="2"/>
      <c r="M16" s="4"/>
    </row>
    <row r="17" spans="1:13" x14ac:dyDescent="0.25">
      <c r="A17" s="3">
        <v>14</v>
      </c>
      <c r="B17" s="7">
        <v>0.26600000000000001</v>
      </c>
      <c r="C17" s="1">
        <v>0.16600000000000001</v>
      </c>
      <c r="D17" s="6">
        <f t="shared" si="0"/>
        <v>29.15</v>
      </c>
      <c r="E17" s="6">
        <f t="shared" si="1"/>
        <v>4.1500000000000004</v>
      </c>
      <c r="F17" s="10">
        <f t="shared" si="2"/>
        <v>33.299999999999997</v>
      </c>
      <c r="G17" s="2"/>
      <c r="H17" s="2"/>
      <c r="I17" s="2"/>
      <c r="J17" s="2"/>
      <c r="K17" s="2"/>
      <c r="L17" s="2"/>
      <c r="M17" s="4"/>
    </row>
    <row r="18" spans="1:13" x14ac:dyDescent="0.25">
      <c r="A18" s="3">
        <v>15</v>
      </c>
      <c r="B18" s="7">
        <v>0.28699999999999998</v>
      </c>
      <c r="C18" s="1">
        <v>0.16600000000000001</v>
      </c>
      <c r="D18" s="6">
        <f t="shared" si="0"/>
        <v>29.674999999999997</v>
      </c>
      <c r="E18" s="6">
        <f t="shared" si="1"/>
        <v>4.1500000000000004</v>
      </c>
      <c r="F18" s="10">
        <f t="shared" si="2"/>
        <v>33.824999999999996</v>
      </c>
      <c r="G18" s="2"/>
      <c r="H18" s="2"/>
      <c r="I18" s="2"/>
      <c r="J18" s="2"/>
      <c r="K18" s="2"/>
      <c r="L18" s="2"/>
      <c r="M18" s="4"/>
    </row>
    <row r="19" spans="1:13" x14ac:dyDescent="0.25">
      <c r="A19" s="3">
        <v>16</v>
      </c>
      <c r="B19" s="8">
        <v>0.309</v>
      </c>
      <c r="C19" s="1">
        <v>0.16600000000000001</v>
      </c>
      <c r="D19" s="6">
        <f t="shared" si="0"/>
        <v>30.225000000000001</v>
      </c>
      <c r="E19" s="6">
        <f t="shared" si="1"/>
        <v>4.1500000000000004</v>
      </c>
      <c r="F19" s="10">
        <f t="shared" si="2"/>
        <v>34.375</v>
      </c>
      <c r="G19" s="2"/>
      <c r="H19" s="2"/>
      <c r="I19" s="2"/>
      <c r="J19" s="2"/>
      <c r="K19" s="2"/>
      <c r="L19" s="2"/>
      <c r="M19" s="4"/>
    </row>
    <row r="20" spans="1:13" x14ac:dyDescent="0.25">
      <c r="A20" s="3">
        <v>17</v>
      </c>
      <c r="B20" s="8">
        <v>0.33</v>
      </c>
      <c r="C20" s="1">
        <v>0.16600000000000001</v>
      </c>
      <c r="D20" s="6">
        <f t="shared" si="0"/>
        <v>30.75</v>
      </c>
      <c r="E20" s="6">
        <f t="shared" si="1"/>
        <v>4.1500000000000004</v>
      </c>
      <c r="F20" s="10">
        <f t="shared" si="2"/>
        <v>34.9</v>
      </c>
      <c r="G20" s="2"/>
      <c r="H20" s="2"/>
      <c r="I20" s="2"/>
      <c r="J20" s="2"/>
      <c r="K20" s="2"/>
      <c r="L20" s="2"/>
      <c r="M20" s="4"/>
    </row>
    <row r="21" spans="1:13" x14ac:dyDescent="0.25">
      <c r="A21" s="3">
        <v>18</v>
      </c>
      <c r="B21" s="8">
        <v>0.35099999999999998</v>
      </c>
      <c r="C21" s="2">
        <v>0.16500000000000001</v>
      </c>
      <c r="D21" s="6">
        <f t="shared" si="0"/>
        <v>31.274999999999999</v>
      </c>
      <c r="E21" s="6">
        <f t="shared" si="1"/>
        <v>4.125</v>
      </c>
      <c r="F21" s="10">
        <f t="shared" si="2"/>
        <v>35.4</v>
      </c>
      <c r="G21" s="2"/>
      <c r="H21" s="2"/>
      <c r="I21" s="2"/>
      <c r="J21" s="2"/>
      <c r="K21" s="2"/>
      <c r="L21" s="2"/>
      <c r="M21" s="4"/>
    </row>
    <row r="22" spans="1:13" x14ac:dyDescent="0.25">
      <c r="A22" s="3">
        <v>19</v>
      </c>
      <c r="B22" s="8">
        <v>0.372</v>
      </c>
      <c r="C22" s="2">
        <v>0.16500000000000001</v>
      </c>
      <c r="D22" s="6">
        <f t="shared" si="0"/>
        <v>31.799999999999997</v>
      </c>
      <c r="E22" s="6">
        <f t="shared" si="1"/>
        <v>4.125</v>
      </c>
      <c r="F22" s="10">
        <f t="shared" si="2"/>
        <v>35.924999999999997</v>
      </c>
      <c r="G22" s="2"/>
      <c r="H22" s="2"/>
      <c r="I22" s="2"/>
      <c r="J22" s="2"/>
      <c r="K22" s="2"/>
      <c r="L22" s="2"/>
      <c r="M22" s="4"/>
    </row>
    <row r="23" spans="1:13" x14ac:dyDescent="0.25">
      <c r="A23" s="3">
        <v>20</v>
      </c>
      <c r="B23" s="8">
        <v>0.39300000000000002</v>
      </c>
      <c r="C23" s="2">
        <v>0.16500000000000001</v>
      </c>
      <c r="D23" s="6">
        <f t="shared" si="0"/>
        <v>32.325000000000003</v>
      </c>
      <c r="E23" s="6">
        <f t="shared" si="1"/>
        <v>4.125</v>
      </c>
      <c r="F23" s="10">
        <f t="shared" si="2"/>
        <v>36.450000000000003</v>
      </c>
      <c r="G23" s="2"/>
      <c r="H23" s="2"/>
      <c r="I23" s="2"/>
      <c r="J23" s="2"/>
      <c r="K23" s="2"/>
      <c r="L23" s="2"/>
      <c r="M23" s="4"/>
    </row>
    <row r="24" spans="1:13" x14ac:dyDescent="0.25">
      <c r="A24" s="3">
        <v>21</v>
      </c>
      <c r="B24" s="8">
        <v>0.41299999999999998</v>
      </c>
      <c r="C24" s="2">
        <v>0.16400000000000001</v>
      </c>
      <c r="D24" s="6">
        <f t="shared" si="0"/>
        <v>32.825000000000003</v>
      </c>
      <c r="E24" s="6">
        <f t="shared" si="1"/>
        <v>4.0999999999999996</v>
      </c>
      <c r="F24" s="10">
        <f t="shared" si="2"/>
        <v>36.925000000000004</v>
      </c>
      <c r="G24" s="2"/>
      <c r="H24" s="2"/>
      <c r="I24" s="2"/>
      <c r="J24" s="2"/>
      <c r="K24" s="2"/>
      <c r="L24" s="2"/>
      <c r="M24" s="4"/>
    </row>
    <row r="25" spans="1:13" x14ac:dyDescent="0.25">
      <c r="A25" s="3">
        <v>22</v>
      </c>
      <c r="B25" s="8">
        <v>0.433</v>
      </c>
      <c r="C25" s="2">
        <v>0.16400000000000001</v>
      </c>
      <c r="D25" s="6">
        <f t="shared" si="0"/>
        <v>33.325000000000003</v>
      </c>
      <c r="E25" s="6">
        <f t="shared" si="1"/>
        <v>4.0999999999999996</v>
      </c>
      <c r="F25" s="10">
        <f t="shared" si="2"/>
        <v>37.425000000000004</v>
      </c>
      <c r="G25" s="2"/>
      <c r="H25" s="2"/>
      <c r="I25" s="2"/>
      <c r="J25" s="2"/>
      <c r="K25" s="2"/>
      <c r="L25" s="2"/>
      <c r="M25" s="4"/>
    </row>
    <row r="26" spans="1:13" x14ac:dyDescent="0.25">
      <c r="A26" s="3">
        <v>23</v>
      </c>
      <c r="B26" s="8">
        <v>0.45500000000000002</v>
      </c>
      <c r="C26" s="2">
        <v>0.16300000000000001</v>
      </c>
      <c r="D26" s="6">
        <f t="shared" si="0"/>
        <v>33.875</v>
      </c>
      <c r="E26" s="6">
        <f t="shared" si="1"/>
        <v>4.0750000000000002</v>
      </c>
      <c r="F26" s="10">
        <f t="shared" si="2"/>
        <v>37.950000000000003</v>
      </c>
      <c r="G26" s="2"/>
      <c r="H26" s="2"/>
      <c r="I26" s="2"/>
      <c r="J26" s="2"/>
      <c r="K26" s="2"/>
      <c r="L26" s="2"/>
      <c r="M26" s="4"/>
    </row>
    <row r="27" spans="1:13" x14ac:dyDescent="0.25">
      <c r="A27" s="3">
        <v>24</v>
      </c>
      <c r="B27" s="8">
        <v>0.47499999999999998</v>
      </c>
      <c r="C27" s="2">
        <v>0.16300000000000001</v>
      </c>
      <c r="D27" s="6">
        <f t="shared" si="0"/>
        <v>34.375</v>
      </c>
      <c r="E27" s="6">
        <f t="shared" si="1"/>
        <v>4.0750000000000002</v>
      </c>
      <c r="F27" s="10">
        <f t="shared" si="2"/>
        <v>38.450000000000003</v>
      </c>
      <c r="G27" s="2"/>
      <c r="H27" s="2"/>
      <c r="I27" s="2"/>
      <c r="J27" s="2"/>
      <c r="K27" s="2"/>
      <c r="L27" s="2"/>
      <c r="M27" s="4"/>
    </row>
    <row r="28" spans="1:13" x14ac:dyDescent="0.25">
      <c r="A28" s="3">
        <v>25</v>
      </c>
      <c r="B28" s="8">
        <v>0.495</v>
      </c>
      <c r="C28" s="2">
        <v>0.16200000000000001</v>
      </c>
      <c r="D28" s="6">
        <f t="shared" si="0"/>
        <v>34.875</v>
      </c>
      <c r="E28" s="6">
        <f t="shared" si="1"/>
        <v>4.05</v>
      </c>
      <c r="F28" s="10">
        <f t="shared" si="2"/>
        <v>38.924999999999997</v>
      </c>
      <c r="G28" s="2"/>
      <c r="H28" s="2"/>
      <c r="I28" s="2"/>
      <c r="J28" s="2"/>
      <c r="K28" s="2"/>
      <c r="L28" s="2"/>
      <c r="M28" s="4"/>
    </row>
    <row r="29" spans="1:13" x14ac:dyDescent="0.25">
      <c r="A29" s="3">
        <v>26</v>
      </c>
      <c r="B29" s="8">
        <v>0.51500000000000001</v>
      </c>
      <c r="C29" s="2">
        <v>0.161</v>
      </c>
      <c r="D29" s="6">
        <f t="shared" si="0"/>
        <v>35.375</v>
      </c>
      <c r="E29" s="6">
        <f t="shared" si="1"/>
        <v>4.0250000000000004</v>
      </c>
      <c r="F29" s="10">
        <f t="shared" si="2"/>
        <v>39.4</v>
      </c>
      <c r="G29" s="2"/>
      <c r="H29" s="2"/>
      <c r="I29" s="2"/>
      <c r="J29" s="2"/>
      <c r="K29" s="2"/>
      <c r="L29" s="2"/>
      <c r="M29" s="4"/>
    </row>
    <row r="30" spans="1:13" x14ac:dyDescent="0.25">
      <c r="A30" s="2"/>
      <c r="B30" s="2"/>
      <c r="C30" s="2"/>
      <c r="D30" s="2"/>
      <c r="E30" s="8">
        <f>AVERAGE(E12:E29)</f>
        <v>4.1194444444444445</v>
      </c>
      <c r="F30" s="2"/>
      <c r="G30" s="2"/>
      <c r="H30" s="2"/>
      <c r="I30" s="2"/>
      <c r="J30" s="2"/>
      <c r="K30" s="2"/>
      <c r="L30" s="2"/>
      <c r="M30" s="4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Hongjin Wu</cp:lastModifiedBy>
  <dcterms:created xsi:type="dcterms:W3CDTF">2023-05-12T11:15:00Z</dcterms:created>
  <dcterms:modified xsi:type="dcterms:W3CDTF">2025-12-16T15:47:48Z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